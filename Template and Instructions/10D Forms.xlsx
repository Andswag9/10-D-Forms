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worksheets/sheet27.xml" ContentType="application/vnd.openxmlformats-officedocument.spreadsheetml.worksheet+xml"/>
  <Override PartName="/xl/worksheets/sheet28.xml" ContentType="application/vnd.openxmlformats-officedocument.spreadsheetml.worksheet+xml"/>
  <Override PartName="/xl/worksheets/sheet29.xml" ContentType="application/vnd.openxmlformats-officedocument.spreadsheetml.worksheet+xml"/>
  <Override PartName="/xl/worksheets/sheet30.xml" ContentType="application/vnd.openxmlformats-officedocument.spreadsheetml.worksheet+xml"/>
  <Override PartName="/xl/worksheets/sheet3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29725"/>
  <workbookPr defaultThemeVersion="166925"/>
  <mc:AlternateContent xmlns:mc="http://schemas.openxmlformats.org/markup-compatibility/2006">
    <mc:Choice Requires="x15">
      <x15ac:absPath xmlns:x15ac="http://schemas.microsoft.com/office/spreadsheetml/2010/11/ac" url="S:\Lenders\Trimont\Reporting\Z - 10-D Letters\Template and Instructions\"/>
    </mc:Choice>
  </mc:AlternateContent>
  <xr:revisionPtr revIDLastSave="0" documentId="13_ncr:1_{C87888F9-40D6-4C58-B6C3-9F75DA4B1454}" xr6:coauthVersionLast="47" xr6:coauthVersionMax="47" xr10:uidLastSave="{00000000-0000-0000-0000-000000000000}"/>
  <bookViews>
    <workbookView xWindow="-12795" yWindow="-16320" windowWidth="29040" windowHeight="15720" tabRatio="974" activeTab="1" xr2:uid="{00000000-000D-0000-FFFF-FFFF00000000}"/>
  </bookViews>
  <sheets>
    <sheet name="Instructions" sheetId="46" r:id="rId1"/>
    <sheet name="Data Entry" sheetId="1" r:id="rId2"/>
    <sheet name="2016-C1 CGCMT" sheetId="14" r:id="rId3"/>
    <sheet name="2017-GS7 GSMS" sheetId="28" r:id="rId4"/>
    <sheet name="2017-GS8 GSMS" sheetId="30" r:id="rId5"/>
    <sheet name="2016-C5" sheetId="17" r:id="rId6"/>
    <sheet name="2016-C6" sheetId="18" r:id="rId7"/>
    <sheet name="2019-GC38 GSMS" sheetId="34" r:id="rId8"/>
    <sheet name="2016-C2" sheetId="16" r:id="rId9"/>
    <sheet name="2016-C31" sheetId="21" r:id="rId10"/>
    <sheet name="2016-C35" sheetId="22" r:id="rId11"/>
    <sheet name="2016-JP4" sheetId="23" r:id="rId12"/>
    <sheet name="2016-LC24" sheetId="24" r:id="rId13"/>
    <sheet name="2017-BNK3" sheetId="25" r:id="rId14"/>
    <sheet name="2017-RB1" sheetId="26" r:id="rId15"/>
    <sheet name="2017-JP7 JPMCC" sheetId="27" r:id="rId16"/>
    <sheet name="2017-BNK7 BANK" sheetId="29" r:id="rId17"/>
    <sheet name="2017-C42 WFCM" sheetId="31" r:id="rId18"/>
    <sheet name="2019-BNK16 BANK" sheetId="32" r:id="rId19"/>
    <sheet name="2019-C4 BBCMS" sheetId="35" r:id="rId20"/>
    <sheet name="2019-BNK23 BANK" sheetId="36" r:id="rId21"/>
    <sheet name="2019-BNK24 BANK" sheetId="37" r:id="rId22"/>
    <sheet name="2021-BNK34 BANK" sheetId="39" r:id="rId23"/>
    <sheet name="2021-BNK35 BANK" sheetId="40" r:id="rId24"/>
    <sheet name="2021-BNK38 BANK" sheetId="41" r:id="rId25"/>
    <sheet name="2022-BNK43 BANK" sheetId="42" r:id="rId26"/>
    <sheet name="2025-C64 WFCM" sheetId="43" r:id="rId27"/>
    <sheet name="2025-C12 BMO" sheetId="44" r:id="rId28"/>
    <sheet name="2025-5YR15 BANK5" sheetId="45" r:id="rId29"/>
    <sheet name="2025-5YR18 BANK5" sheetId="48" r:id="rId30"/>
    <sheet name="2025-5C2 MSBAM" sheetId="47" r:id="rId31"/>
  </sheets>
  <definedNames>
    <definedName name="_xlnm.Print_Area" localSheetId="21">'2019-BNK24 BANK'!$A$1:$E$28</definedName>
    <definedName name="Z_0B0B99EA_567A_4367_98D1_8FEBFA28A824_.wvu.Cols" localSheetId="16" hidden="1">'2017-BNK7 BANK'!$E:$E</definedName>
    <definedName name="Z_0B0B99EA_567A_4367_98D1_8FEBFA28A824_.wvu.Cols" localSheetId="17" hidden="1">'2017-C42 WFCM'!$E:$E</definedName>
    <definedName name="Z_0B0B99EA_567A_4367_98D1_8FEBFA28A824_.wvu.Cols" localSheetId="3" hidden="1">'2017-GS7 GSMS'!$E:$E</definedName>
    <definedName name="Z_0B0B99EA_567A_4367_98D1_8FEBFA28A824_.wvu.Cols" localSheetId="4" hidden="1">'2017-GS8 GSMS'!$E:$E</definedName>
    <definedName name="Z_0B0B99EA_567A_4367_98D1_8FEBFA28A824_.wvu.Cols" localSheetId="18" hidden="1">'2019-BNK16 BANK'!$E:$E</definedName>
    <definedName name="Z_0B0B99EA_567A_4367_98D1_8FEBFA28A824_.wvu.Cols" localSheetId="20" hidden="1">'2019-BNK23 BANK'!$E:$E</definedName>
    <definedName name="Z_0B0B99EA_567A_4367_98D1_8FEBFA28A824_.wvu.Cols" localSheetId="21" hidden="1">'2019-BNK24 BANK'!$E:$E</definedName>
    <definedName name="Z_0B0B99EA_567A_4367_98D1_8FEBFA28A824_.wvu.Cols" localSheetId="19" hidden="1">'2019-C4 BBCMS'!$E:$E</definedName>
    <definedName name="Z_0B0B99EA_567A_4367_98D1_8FEBFA28A824_.wvu.Cols" localSheetId="7" hidden="1">'2019-GC38 GSMS'!$E:$E</definedName>
    <definedName name="Z_0B0B99EA_567A_4367_98D1_8FEBFA28A824_.wvu.Cols" localSheetId="22" hidden="1">'2021-BNK34 BANK'!$E:$E</definedName>
    <definedName name="Z_0B0B99EA_567A_4367_98D1_8FEBFA28A824_.wvu.Cols" localSheetId="23" hidden="1">'2021-BNK35 BANK'!$E:$E</definedName>
    <definedName name="Z_126BE109_959B_480F_842E_7874A8088742_.wvu.Cols" localSheetId="16" hidden="1">'2017-BNK7 BANK'!$E:$E</definedName>
    <definedName name="Z_126BE109_959B_480F_842E_7874A8088742_.wvu.Cols" localSheetId="17" hidden="1">'2017-C42 WFCM'!$E:$E</definedName>
    <definedName name="Z_126BE109_959B_480F_842E_7874A8088742_.wvu.Cols" localSheetId="3" hidden="1">'2017-GS7 GSMS'!$E:$E</definedName>
    <definedName name="Z_126BE109_959B_480F_842E_7874A8088742_.wvu.Cols" localSheetId="4" hidden="1">'2017-GS8 GSMS'!$E:$E</definedName>
    <definedName name="Z_126BE109_959B_480F_842E_7874A8088742_.wvu.Cols" localSheetId="18" hidden="1">'2019-BNK16 BANK'!$E:$E</definedName>
    <definedName name="Z_126BE109_959B_480F_842E_7874A8088742_.wvu.Cols" localSheetId="20" hidden="1">'2019-BNK23 BANK'!$E:$E</definedName>
    <definedName name="Z_126BE109_959B_480F_842E_7874A8088742_.wvu.Cols" localSheetId="21" hidden="1">'2019-BNK24 BANK'!$E:$E</definedName>
    <definedName name="Z_126BE109_959B_480F_842E_7874A8088742_.wvu.Cols" localSheetId="19" hidden="1">'2019-C4 BBCMS'!$E:$E</definedName>
    <definedName name="Z_126BE109_959B_480F_842E_7874A8088742_.wvu.Cols" localSheetId="7" hidden="1">'2019-GC38 GSMS'!$E:$E</definedName>
    <definedName name="Z_126BE109_959B_480F_842E_7874A8088742_.wvu.Cols" localSheetId="22" hidden="1">'2021-BNK34 BANK'!$E:$E</definedName>
  </definedNames>
  <calcPr calcId="191029"/>
  <customWorkbookViews>
    <customWorkbookView name="Samuel Gebremedhin - Personal View" guid="{126BE109-959B-480F-842E-7874A8088742}" mergeInterval="0" personalView="1" maximized="1" xWindow="1912" yWindow="-8" windowWidth="1936" windowHeight="1056" tabRatio="974" activeSheetId="1"/>
    <customWorkbookView name="Chelsea - Personal View" guid="{0B0B99EA-567A-4367-98D1-8FEBFA28A824}" mergeInterval="0" personalView="1" maximized="1" xWindow="1912" yWindow="-8" windowWidth="1936" windowHeight="1056" tabRatio="974" activeSheetId="40"/>
  </customWorkbookViews>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calcFeatures>
    </ext>
  </extLst>
</workbook>
</file>

<file path=xl/calcChain.xml><?xml version="1.0" encoding="utf-8"?>
<calcChain xmlns="http://schemas.openxmlformats.org/spreadsheetml/2006/main">
  <c r="D29" i="48" l="1"/>
  <c r="D28" i="48"/>
  <c r="D10" i="48"/>
  <c r="B5" i="48"/>
  <c r="D29" i="47"/>
  <c r="D28" i="47"/>
  <c r="D10" i="47"/>
  <c r="B5" i="47"/>
  <c r="D29" i="45"/>
  <c r="D28" i="45"/>
  <c r="D10" i="45"/>
  <c r="B5" i="45"/>
  <c r="D29" i="44"/>
  <c r="D28" i="44"/>
  <c r="D10" i="44"/>
  <c r="B5" i="44"/>
  <c r="B5" i="1"/>
  <c r="D29" i="43"/>
  <c r="D28" i="43"/>
  <c r="D10" i="43"/>
  <c r="B5" i="43"/>
  <c r="D29" i="42"/>
  <c r="D28" i="42"/>
  <c r="D10" i="42"/>
  <c r="B5" i="42"/>
  <c r="D29" i="41"/>
  <c r="D28" i="41"/>
  <c r="D10" i="41"/>
  <c r="B5" i="41"/>
  <c r="D29" i="40"/>
  <c r="D28" i="40"/>
  <c r="D10" i="40"/>
  <c r="B5" i="40"/>
  <c r="D29" i="39"/>
  <c r="D28" i="39"/>
  <c r="D10" i="39"/>
  <c r="B5" i="39"/>
  <c r="D28" i="37"/>
  <c r="D27" i="37"/>
  <c r="D9" i="37"/>
  <c r="B5" i="37"/>
  <c r="D31" i="36" l="1"/>
  <c r="D30" i="36"/>
  <c r="D10" i="36"/>
  <c r="B5" i="36"/>
  <c r="D10" i="35" l="1"/>
  <c r="D31" i="35"/>
  <c r="D30" i="35"/>
  <c r="B5" i="35"/>
  <c r="D31" i="34" l="1"/>
  <c r="D30" i="34"/>
  <c r="D10" i="34"/>
  <c r="B5" i="34"/>
  <c r="D31" i="32"/>
  <c r="D30" i="32"/>
  <c r="D10" i="32"/>
  <c r="B5" i="32"/>
  <c r="B5" i="31" l="1"/>
  <c r="D31" i="31" l="1"/>
  <c r="D30" i="31"/>
  <c r="D10" i="31"/>
  <c r="D31" i="30" l="1"/>
  <c r="D30" i="30"/>
  <c r="D10" i="30"/>
  <c r="B5" i="30"/>
  <c r="B5" i="29" l="1"/>
  <c r="D10" i="29"/>
  <c r="D30" i="29" l="1"/>
  <c r="D31" i="29"/>
  <c r="D31" i="28" l="1"/>
  <c r="D30" i="28"/>
  <c r="D10" i="28"/>
  <c r="B5" i="28"/>
  <c r="D31" i="27" l="1"/>
  <c r="D30" i="27"/>
  <c r="D10" i="27"/>
  <c r="B5" i="27"/>
  <c r="D31" i="26" l="1"/>
  <c r="D30" i="26"/>
  <c r="D10" i="26"/>
  <c r="B5" i="26"/>
  <c r="D31" i="25" l="1"/>
  <c r="D30" i="25"/>
  <c r="D10" i="25"/>
  <c r="B5" i="25"/>
  <c r="D31" i="24" l="1"/>
  <c r="D30" i="24"/>
  <c r="D10" i="24"/>
  <c r="B5" i="24"/>
  <c r="D31" i="23"/>
  <c r="D30" i="23"/>
  <c r="D10" i="23"/>
  <c r="B5" i="23"/>
  <c r="D31" i="22"/>
  <c r="D30" i="22"/>
  <c r="D10" i="22"/>
  <c r="B5" i="22"/>
  <c r="D31" i="21"/>
  <c r="D30" i="21"/>
  <c r="D10" i="21"/>
  <c r="B5" i="21"/>
  <c r="D31" i="18"/>
  <c r="D30" i="18"/>
  <c r="D10" i="18"/>
  <c r="B5" i="18"/>
  <c r="D31" i="17"/>
  <c r="D30" i="17"/>
  <c r="D10" i="17"/>
  <c r="B5" i="17"/>
  <c r="D31" i="16"/>
  <c r="D30" i="16"/>
  <c r="D10" i="16"/>
  <c r="B5" i="16"/>
  <c r="D31" i="14"/>
  <c r="D30" i="14"/>
  <c r="D10" i="14"/>
  <c r="B5" i="14"/>
  <c r="B27" i="34" l="1"/>
  <c r="B6" i="1"/>
  <c r="B25" i="47" l="1"/>
  <c r="B25" i="48"/>
  <c r="B25" i="44"/>
  <c r="B25" i="45"/>
  <c r="B25" i="42"/>
  <c r="B25" i="43"/>
  <c r="B25" i="40"/>
  <c r="B25" i="41"/>
  <c r="B25" i="39"/>
  <c r="B27" i="35"/>
  <c r="B24" i="37"/>
  <c r="B27" i="36"/>
  <c r="B27" i="32"/>
  <c r="B27" i="28"/>
  <c r="B27" i="30"/>
  <c r="B27" i="31"/>
  <c r="B27" i="29"/>
  <c r="B27" i="27"/>
  <c r="B27" i="25"/>
  <c r="B27" i="26"/>
  <c r="B27" i="14"/>
  <c r="B27" i="18"/>
  <c r="B27" i="17"/>
  <c r="B27" i="23"/>
  <c r="B27" i="22"/>
  <c r="B27" i="21"/>
  <c r="B27" i="24"/>
  <c r="B27" i="16"/>
</calcChain>
</file>

<file path=xl/sharedStrings.xml><?xml version="1.0" encoding="utf-8"?>
<sst xmlns="http://schemas.openxmlformats.org/spreadsheetml/2006/main" count="643" uniqueCount="218">
  <si>
    <t xml:space="preserve">Form 10-D Information Report </t>
  </si>
  <si>
    <t>Identifying Information for this Report:</t>
  </si>
  <si>
    <t>Date of Submission:</t>
  </si>
  <si>
    <t>Depositor:</t>
  </si>
  <si>
    <t>Trust:</t>
  </si>
  <si>
    <t>Pooling and Servicing Agreement:</t>
  </si>
  <si>
    <t>Master Servicer:</t>
  </si>
  <si>
    <t>Subservicer:</t>
  </si>
  <si>
    <t>NRC Group, Inc.</t>
  </si>
  <si>
    <t>SIGNATURES</t>
  </si>
  <si>
    <t>Pursuant to the requirements of the Securities Exchange Act of 1934, the registrant has duly caused this report to be signed on its behalf by the undersigned thereunto duly authorized.</t>
  </si>
  <si>
    <t>By: NRC Group, Inc., a California corporation</t>
  </si>
  <si>
    <t>Subservicing Agreement</t>
  </si>
  <si>
    <t>Reporting Date</t>
  </si>
  <si>
    <t>Signature Date</t>
  </si>
  <si>
    <t>Signer</t>
  </si>
  <si>
    <t>Title</t>
  </si>
  <si>
    <t>Wells Fargo Commercial Mortgage Securities, Inc.</t>
  </si>
  <si>
    <t>Determination date is the 11th</t>
  </si>
  <si>
    <t>Morgan Stanley Capital I Inc.</t>
  </si>
  <si>
    <t>J.P. Morgan Chase Commercial Mortgage Securities Corp.</t>
  </si>
  <si>
    <t>GS Mortgage Securities Corporation II</t>
  </si>
  <si>
    <t>Pool Name: CGCMT 2016-C1</t>
  </si>
  <si>
    <t>Citigroup Commercial Mortgage Securities, Inc.</t>
  </si>
  <si>
    <t>2016-C1</t>
  </si>
  <si>
    <t>Pooling and Servicing Agreement dated as of May 1, 2016, among Citigroup Commercial Mortgage Securities, Inc. as Depositor, Wells Fargo Bank, N.A. as Master Servicer, LNR Partners, LLC as Special Servicer, Park Bridge Lender Services, LLC as Operating Advisor and Asset Representations Reviewer, Citibank, N.A. as Certificate Administrator and Deutsche Bank Trust Company Americas as Trustee.</t>
  </si>
  <si>
    <t>Subservicing Agreement dated as of May 1, 2016, between Wells Fargo Bank, N.A., as Master Servicer, and NRC Group, Inc., as Subservicer.</t>
  </si>
  <si>
    <t>Pool Name: JPMDB 2016-C2</t>
  </si>
  <si>
    <t>2016-C2</t>
  </si>
  <si>
    <t>May 1, 2016, among J.P. Morgan Chase Commercial Mortgage Securities Corp., as Depositor, Wells Fargo Bank, N.A., as Master Servicer, Midland Loan Services, a Division of PNC Bank, N.A., as Special Servicer, Wells Fargo Bank, N.A., as Certificate Administrator, Wilmington Trust, N.A., as Trustee, and Pentalpha Surveillance LLC, as Operating Advisor and Asset Representations Reviewer</t>
  </si>
  <si>
    <t>Pool Name: SGCMS 2016-C5</t>
  </si>
  <si>
    <t>SG Commercial Mortgage Securities, LLC</t>
  </si>
  <si>
    <t>2016-C5</t>
  </si>
  <si>
    <t>July 1, 2016, among SG Commercial Mortgage Securities, LLC as Depositor, Wells Fargo Bank, N.A. as Master Servicer, Rialto Capital Advisors, LLC as Special Servicer, Wells Fargo Bank, N.A. as Certificate Administrator, Wilmington Trust, N.A. as Trustee and Park Bridge Lender Services, LLC as Operating Advisor and as Asset Representations Reviewer.</t>
  </si>
  <si>
    <t>Subservicing Agreement dated as of July 1, 2016, between Wells Fargo Bank, N.A., as Master Servicer, and NRC Group, Inc., as Subservicer.</t>
  </si>
  <si>
    <t>Pool Name: CFCRE 2016-C6</t>
  </si>
  <si>
    <t>CCRE Commercial Mortgage Securities, LP</t>
  </si>
  <si>
    <t>2016-C6</t>
  </si>
  <si>
    <t>November 1, 2016, among CCRE Commercial Mortgage Securities, LP as Depositor, Wells Fargo Bank, N.A. as Master Servicer, Rialto Capital Advisors, LLC as Special Servicer, Wells Fargo Bank, N.A. as Certificate Administrator, Paying Agent and Custodian, Wilmington Trust, N.A. as Trustee and Park Bridge Lender Services, LLC as Operating Advisor and as Asset Representations Reviewer.</t>
  </si>
  <si>
    <t>Subservicing Agreement dated as of November 1, 2016, between Wells Fargo Bank, N.A., as Master Servicer, and NRC Group, Inc., as Subservicer.</t>
  </si>
  <si>
    <t>Pool Name: MSBAM 2016-C31</t>
  </si>
  <si>
    <t>Banc of America Merrill Lynch Commercial Mortgage Inc.</t>
  </si>
  <si>
    <t>2016-C31</t>
  </si>
  <si>
    <t>November 1, 2016, among Banc of America Merrill Lynch Commercial Mortgage Inc., as Depositor, Wells Fargo Bank, N.A., as Master Servicer, Rialto Capital Advisors, LLC, as Special Servicer, Wells Fargo Bank, N.A., as Certificate Administrator, Wilmington Trust, N.A., as Trustee, and Park Bridge Lender Services, LLC, as Operating Advisor and Asset Representations Reviewer</t>
  </si>
  <si>
    <t>Pool Name: WFCM 2016-C35</t>
  </si>
  <si>
    <t>2016-C35</t>
  </si>
  <si>
    <t>July 1, 2016, among Wells Fargo Commercial Mortgage Securities, Inc. as Depositor, Wells Fargo Bank, N.A. as General Master Servicer, CW Capital Asset Management, LLC as General Special Servicer, National Cooperative Bank, N.A., as NCB Master Servicer and as NCB Special Servicer, Wells Fargo Bank, N.A., as Certificate Administrator, Wilmington Trust, N.A. as Trustee and Pentalpha Surveillance, LLC as Operating Advisor and as Asset Representations Reviewer.</t>
  </si>
  <si>
    <t>Pool Name: JPMCC 2016-JP4</t>
  </si>
  <si>
    <t>2016-JP4</t>
  </si>
  <si>
    <t>December 1, 2016, among J.P. Morgan Chase Commercial Mortgage Securities Corp. as Depositor, Wells Fargo Bank, N.A. as Master Servicer, LNR Partners, LLC as Special Servicer, Wells Fargo Bank, N.A., as Certificate Administrator, Wilmington Trust, N.A. as Trustee and Pentalpha Surveillance, LLC as Operating Advisor and as Asset Representations Reviewer.</t>
  </si>
  <si>
    <t>Subservicing Agreement dated as of December 1, 2016, between Wells Fargo Bank, N.A., as Master Servicer, and NRC Group, Inc., as Subservicer.</t>
  </si>
  <si>
    <t>Pool Name: WFCM 2016-LC24</t>
  </si>
  <si>
    <t>2016-LC24</t>
  </si>
  <si>
    <t>September 1, 2016, among Wells Fargo Commercial Mortgage Securities, Inc. as Depositor, Wells Fargo Bank, N.A. as General Master Servicer, Midland Loan Services, a Division of PNC Bank, N.A. as General Special Servicer, National Cooperative Bank, N.A. as NCB Master Servicer and as NCB Special Servicer, Wells Fargo Bank, N.A. as Certificate Administrator, Wilmington Trust, N.A. as Trustee and Trimont Real Estate Advisors, LLC as Operating Advisor and as Asset Representation Review.</t>
  </si>
  <si>
    <t>Subservicing Agreement dated as of September 1, 2016, between Wells Fargo Bank, N.A., as Master Servicer, and NRC Group, Inc., as Subservicer.</t>
  </si>
  <si>
    <t>Pool Name: BACM 2017-BNK3</t>
  </si>
  <si>
    <t>2017-BNK3</t>
  </si>
  <si>
    <t>February 1, 2017, among Banc of America Merrill Lynch Commercial Mortgage Inc. as Depositor, Wells Fargo Bank, N.A. as Master Servicer, Midland Loan Services, a Division of PNC Bank, N.A. as Special Servicer, Wells Fargo Bank, N.A., as Certificate Administrator, Wilmington Trust, N.A. as Trustee and Park Bridge Lender Services LLC as Operating Advisor and as Asset Representations Reviewer.</t>
  </si>
  <si>
    <t>Subservicing Agreement dated as of February 1, 2017, between Wells Fargo Bank, N.A., as Master Servicer, and NRC Group, Inc., as Subservicer.</t>
  </si>
  <si>
    <t>Pool Name: WFCM 2017-RB1</t>
  </si>
  <si>
    <t>2017-RB1</t>
  </si>
  <si>
    <t>March 1, 2017, among Wells Fargo Commercial Mortgage Securities, Inc. as Depositor, Wells Fargo Bank, N.A. as Master Servicer, C-III Asset Management LLC as Special Servicer, Wells Fargo Bank, N.A., as Certificate Administrator, Wilmington Trust, N.A. as Trustee and Trimont Real Estate Advisors LLC as Operating Advisor and as Asset Representations Reviewer.</t>
  </si>
  <si>
    <t>Subservicing Agreement dated as of March 1, 2017, between Wells Fargo Bank, N.A., as Master Servicer, and NRC Group, Inc., as Subservicer.</t>
  </si>
  <si>
    <t>Pool Name: JPMCC 2017-JP7</t>
  </si>
  <si>
    <t>2017-JP7</t>
  </si>
  <si>
    <t>July 1, 2017, among J.P. Morgan Chase Commercial Mortgage Securities Corp. as Depositor, Wells Fargo Bank, N.A. as Master Servicer, CWCapital Asset Management LLC as Special Servicer, Wells Fargo Bank, N.A., as Certificate Administrator, Wilmington Trust, N.A. as Trustee and Pentalpha Surveillance LLC as Operating Advisor and as Asset Representations Reviewer.</t>
  </si>
  <si>
    <t>Subservicing Agreement dated as of July 1, 2017, between Wells Fargo Bank, N.A., as Master Servicer, and NRC Group, Inc., as Subservicer.</t>
  </si>
  <si>
    <t>Pool Name: GSMS 2017-GS7</t>
  </si>
  <si>
    <t>2017-GS7</t>
  </si>
  <si>
    <t>August 1, 2017, among GS Mortgage Securities Corporation II as Depositor, Wells Fargo Bank, N.A. as Master Servicer, Rialto Capital Advisors, LLC as Special Servicer, Wells Fargo Bank, N.A., as Certificate Administrator, Wilmington Trust, N.A. as Trustee and Park Bridge Lender Services LLC as Operating Advisor and as Asset Representations Reviewer.</t>
  </si>
  <si>
    <t>Subservicing Agreement dated as of August 1, 2017, between Wells Fargo Bank, N.A., as Master Servicer, and NRC Group, Inc., as Subservicer.</t>
  </si>
  <si>
    <t>Pool Name: BANK 2017-BNK7</t>
  </si>
  <si>
    <t>2017-BNK7</t>
  </si>
  <si>
    <t>Subservicing Agreement dated as of September 1, 2017, between Wells Fargo Bank, N.A., as Master Servicer, and NRC Group, Inc., as Subservicer.</t>
  </si>
  <si>
    <t>Pool Name: GSMS 2017-GS8</t>
  </si>
  <si>
    <t>2017-GS8</t>
  </si>
  <si>
    <t>November 1, 2017, among GS Mortgage Securities Corporation II as Depositor, Wells Fargo Bank, N.A. as Master Servicer, Midland Loan Services, a Division of PNC Bank, N.A. as Special Servicer, Wells Fargo Bank, N.A., as Certificate Administrator, Wilmington Trust, N.A. as Trustee and Pentalpha Surveillance LLC as Operating Advisor and as Asset Representations Reviewer.</t>
  </si>
  <si>
    <t>Subservicing Agreement dated as of November 1, 2017, between Wells Fargo Bank, N.A., as Master Servicer, and NRC Group, Inc., as Subservicer.</t>
  </si>
  <si>
    <t>Pool Name: WFCM 2017-C42</t>
  </si>
  <si>
    <t>2017-C42</t>
  </si>
  <si>
    <t>September 1, 2017, among Wells Fargo Commercial Mortgage Securities, Inc. as Depositor, Wells Fargo Bank, N.A. as General Master Servicer, Rialto Capital Advisors, LLC as General Special Servicer, National Cooperative Bank, N.A., as NCB Master Servicer and as NCB Special Servicer, Wells Fargo Bank, N.A., as Certificate Administrator, Wilmington Trust, N.A., as Trustee and Pentalpha Surveillance LLC, as Operating Advisor and as Asset Representations Reviewer.</t>
  </si>
  <si>
    <t>December 1, 2017, among Wells Fargo Commercial Mortgage Securities, Inc. as Depositor, Wells Fargo Bank, N.A. as Master Servicer, LNR Partners, LLC as Special Servicer, Wells Fargo Bank, N.A., as Certificate Administrator, Wilmington Trust, N.A., as Trustee and Park Bridge Lender Services LLC, as Operating Advisor and as Asset Representations Reviewer.</t>
  </si>
  <si>
    <t>Subservicing Agreement dated as of December 1, 2017, between Wells Fargo Bank, N.A., as Master Servicer, and NRC Group, Inc., as Subservicer.</t>
  </si>
  <si>
    <t>CMSAs due by the 6th</t>
  </si>
  <si>
    <t>2016-C1 CGCMT</t>
  </si>
  <si>
    <t>2017-GS7 GSMS</t>
  </si>
  <si>
    <t>2017-GS8 GSMS</t>
  </si>
  <si>
    <t>CMSAs due by 11th</t>
  </si>
  <si>
    <t>2017-JP7 JPMCC</t>
  </si>
  <si>
    <t>2017-BNK7 BANK</t>
  </si>
  <si>
    <t>2017-C42 WFCM</t>
  </si>
  <si>
    <t>2019-BNK16 BANK</t>
  </si>
  <si>
    <t>Pool Name: BANK 2019-BNK16</t>
  </si>
  <si>
    <t>2019-BNK16</t>
  </si>
  <si>
    <t>February 1, 2019, among Wells Fargo Commercial Mortgage Securities, Inc. as Depositor, Wells Fargo Bank, N.A. as General Master Servicer, Keybank National Association as General Special Servicer, National Cooperative Bank, N.A. as NCB Master Servicer and as NCB Special Servicer, Wells Fargo Bank, N.A., as Certificate Administrator, Wilmington Trust, N.A., as Trustee and Park Bridge Lender Services LLC, as Operating Advisor and as Asset Representations Reviewer.</t>
  </si>
  <si>
    <t>Subservicing Agreement dated as of February 1, 2019, between Wells Fargo Bank, N.A., as Master Servicer, and NRC Group, Inc., as Subservicer.</t>
  </si>
  <si>
    <t>2019-GC38 GSMS</t>
  </si>
  <si>
    <t>Pool Name: GSMS 2019-GC38</t>
  </si>
  <si>
    <t>2019-GC38</t>
  </si>
  <si>
    <t>February 1, 2019, among GS Mortgage Securities Corporation II as Depositor, Wells Fargo Bank, N.A. as Master Servicer, Midland Loan Services, a Division of PNC Bank, N.A. as Special Servicer, Wells Fargo Bank, N.A., as Certificate Administrator, Wilmington Trust, N.A. as Trustee and Pentalpha Surveillance LLC as Operating Advisor and as Asset Representations Reviewer.</t>
  </si>
  <si>
    <t>Michael Heagerty</t>
  </si>
  <si>
    <t>Principal</t>
  </si>
  <si>
    <t>2019-C4 BBCMS</t>
  </si>
  <si>
    <t>Pool Name: BBCMS 2019-C4</t>
  </si>
  <si>
    <t>Barclays Commercial Mortgage Securities LLC</t>
  </si>
  <si>
    <t>2019-C4</t>
  </si>
  <si>
    <t>August 1, 2019, among Barclays Commercial Mortgage Securities LLC as Depositor, Wells Fargo Bank, N.A. as Master Servicer, Rialto Capital Advisors LLC as Special Servicer, Wells Fargo Bank, N.A. as Certificate Administrator, Wilmington Trust, N.A. as Trustee and Park Bridge Lender Services LLC as Operating Advisor and as Asset Representations Reviewer.</t>
  </si>
  <si>
    <t>Subservicing Agreement dated as of August 1, 2019, between Wells Fargo Bank, N.A., as Master Servicer, and NRC Group, Inc., as Subservicer.</t>
  </si>
  <si>
    <t>Pool Name: BANK 2019-BNK23</t>
  </si>
  <si>
    <t>2019-BNK23 BANK</t>
  </si>
  <si>
    <t>2019-BNK23</t>
  </si>
  <si>
    <t>December 1, 2019, among Morgan Stanley Capital I Inc. as Depositor, Wells Fargo Bank, N.A. as Master Servicer, Keybank N.A. as Special Servicer, Wells Fargo Bank, N.A. as Certificate Administrator, Wilmington Trust, N.A. as Trustee and Park Bridge Lender Services LLC as Operating Advisor and as Asset Representations Reviewer.</t>
  </si>
  <si>
    <t>Subservicing Agreement dated as of December 1, 2019, between Wells Fargo Bank, N.A., as Master Servicer, and NRC Group, Inc., as Subservicer.</t>
  </si>
  <si>
    <t>Pool Name: BANK 2019-BNK24</t>
  </si>
  <si>
    <t>2019-BNK24</t>
  </si>
  <si>
    <t>December 1, 2019, among Banc of America Merrill Lynch Commercial Mortgage Inc. as Depositor, Wells Fargo Bank, N.A. as General Master Servicer, Midland Loan Services, a Division of PNC Bank, N.A. as General Special Servicer, National Cooperative Bank, N.A. as NCB Master Servicer and as NCB Special Servicer, Wells Fargo Bank, N.A. as Certificate Administrator, Wilmington Trust, N.A. as Trustee and Park Bridge Lender Services LLC as Operating Advisor and as Asset Representations Reviewer.</t>
  </si>
  <si>
    <t>2019-BNK24 BANK</t>
  </si>
  <si>
    <t>7595-G; 7594-W</t>
  </si>
  <si>
    <t>7762-BD; 7604-P</t>
  </si>
  <si>
    <t>7944-S; 7943-St</t>
  </si>
  <si>
    <t>no reserve</t>
  </si>
  <si>
    <t>2021-BNK34 BANK</t>
  </si>
  <si>
    <t>Pool Name: BANK 2021-BNK34</t>
  </si>
  <si>
    <t>Wells Fargo Commercial Mortgage Securities Inc.</t>
  </si>
  <si>
    <t>2021-BNK34</t>
  </si>
  <si>
    <t>June 1, 2021, among Wells Fargo Commercial Mortgage Securities, Inc. as Depositor, Wells Fargo Bank, N.A. as General Master Servicer, Greystone Servicing Company LLC as Special Servicer, Wells Fargo Bank, N.A. as Certificate Administrator, Wilmington Trust, N.A. as Trustee and Pentalpha Surveillance LLC as Operating Advisor and as Asset Representations Reviewer.</t>
  </si>
  <si>
    <t>Subservicing Agreement dated as of June 1, 2021, between Wells Fargo Bank, N.A., as Master Servicer, and NRC Group, Inc., as Subservicer.</t>
  </si>
  <si>
    <t>2021-BNK35 BANK</t>
  </si>
  <si>
    <t>Pool Name: BANK 2021-BNK35</t>
  </si>
  <si>
    <t>2021-BNK35</t>
  </si>
  <si>
    <t>August 1, 2021, among Morgan Stanley Capital I Inc. as Depositor, Wells Fargo Bank, N.A. as General Master Servicer, Keybank N.A. as General Special Servicer, Wells Fargo Bank, N.A. as Certificate Administrator, Wilmington Trust, N.A. as Trustee and Park Bridge Lender Services LLC as Operating Advisor and as Asset Representations Reviewer.</t>
  </si>
  <si>
    <t>Subservicing Agreement dated as of August 1, 2021, between Wells Fargo Bank, N.A., as Master Servicer, and NRC Group, Inc., as Subservicer.</t>
  </si>
  <si>
    <t>Pool Name: BANK 2021-BNK38</t>
  </si>
  <si>
    <t>2021-BNK38</t>
  </si>
  <si>
    <t>December 1, 2021, among Morgan Stanley Capital I Inc. as Depositor, Wells Fargo Bank, N.A. as General Master Servicer, Midland Loan Services, a Division of PNC Bank, N.A. as General Special Servicer, Computershare Trust Company, N.A. as Certificate Administrator, Wilmington Trust, N.A. as Trustee and Pentalpha Surveillance LLC as Operating Advisor and as Asset Representations Reviewer.</t>
  </si>
  <si>
    <t>Subservicing Agreement dated as of December 1, 2021, between Wells Fargo Bank, N.A., as Master Servicer, and NRC Group, Inc., as Subservicer.</t>
  </si>
  <si>
    <t>2021-BNK38 BANK</t>
  </si>
  <si>
    <t>Determination date is the 6th</t>
  </si>
  <si>
    <t>Pool Name: BANK 2022-BNK43</t>
  </si>
  <si>
    <t>Wells Fargo Commerical Mortgage Securities Inc.</t>
  </si>
  <si>
    <t>2022-BNK43</t>
  </si>
  <si>
    <t>August 1, 2022, among Wells Fargo Commercial Mortgage Securities, Inc. as Depositor, Wells Fargo Bank, N.A. as General Master Servicer, Greystone Servicing Company LLC as General Special Servicer, Computershare Trust Company, N.A. as Certificate Administrator, Wilmington Trust, N.A. as Trustee and Pentalpha Surveillance LLC as Operating Advisor and as Asset Representations Reviewer.</t>
  </si>
  <si>
    <t>Subservicing Agreement dated as of August 1, 2022, between Wells Fargo Bank, N.A., as Master Servicer, and NRC Group, Inc., as Subservicer.</t>
  </si>
  <si>
    <t>2022-BNK43 BANK</t>
  </si>
  <si>
    <t>2025-C64 WFCM</t>
  </si>
  <si>
    <t>Pool Name: WFCM 2025-C64</t>
  </si>
  <si>
    <t>2025-C64</t>
  </si>
  <si>
    <t>February 1, 2025, among Wells Fargo Commercial Mortgage Securities, Inc. as Depositor, Wells Fargo Bank, N.A. as Master Servicer, Rialto Capital Advisors, LLC as Special Servicer, Computershare Trust Company, N.A. as Certificate Administrator and as Trustee and Park Bridge Lender Services LLC as Operating Advisor and as Asset Representations Reviewer.</t>
  </si>
  <si>
    <t>Subservicing Agreement dated as of February 1, 2025, between Wells Fargo Bank, N.A., as Master Servicer, and Gantry Capital, Inc., as Subservicer.</t>
  </si>
  <si>
    <t>Gantry Capital, Inc.</t>
  </si>
  <si>
    <t>Pursuant to Section 11.04 of the Pooling and Servicing agreement dated February 1, 2025 for WFCM 2025-C64, Gantry Capital, Inc. as Subservicer certifies to Trimont LLC as Master Servicer during the above-referenced time period that there are no items to report in relation to the Subservicer and to the mortgage loans serviced by Subservicer in relation to the specified pool.</t>
  </si>
  <si>
    <t>Trimont LLC</t>
  </si>
  <si>
    <t>By: Gantry Capital, Inc., a California corporation</t>
  </si>
  <si>
    <t>Pursuant to Section 11.07 of the Pooling and Servicing agreement dated May 1, 2016 for CGCMT 2016-C1, NRC Group, Inc. as Subservicer certifies to Trimont LLC as Master Servicer during the above-referenced time period that there are no items to report in relation to the Subservicer and to the mortgage loans serviced by Subservicer in relation to the specified pool.</t>
  </si>
  <si>
    <t xml:space="preserve">Pursuant to Section 11.04 of the Pooling and Servicing agreement dated May 1, 2016 for JPMDB 2016-C2, NRC Group, Inc. as Subservicer certifies to Trimont LLC as Master Servicer during the above-referenced time period that there are no items to report in relation to the Subservicer and to the mortgage loans serviced by Subservicer in relation to the specified pool.  </t>
  </si>
  <si>
    <t>Pursuant to Section 11.04 of the Pooling and Servicing agreement dated July 1, 2016 for SGCMS 2016-C5, NRC Group, Inc. as Subservicer certifies to Trimont LLC as Master Servicer during the above-referenced time period that there are no items to report in relation to the Subservicer and to the mortgage loans serviced by Subservicer in relation to the specified pool.</t>
  </si>
  <si>
    <t xml:space="preserve">Pursuant to Section 10.06 of the Pooling and Servicing agreement dated November 1, 2016 for CFCRE 2016-C6, NRC Group, Inc. as Subservicer certifies to Trimont LLC as Master Servicer during the above-referenced time period that there are no items to report in relation to the Subservicer and to the mortgage loans serviced by Subservicer in relation to the specified pool.  </t>
  </si>
  <si>
    <t xml:space="preserve">Pursuant to Section 11.04 of the Pooling and Servicing agreement dated November 1, 2016 for MSBAM 2016-C31, NRC Group, Inc. as Subservicer certifies to Trimont LLC as Master Servicer during the above-referenced time period that there are no items to report in relation to the Subservicer and to the mortgage loans serviced by Subservicer in relation to the specified pool.  </t>
  </si>
  <si>
    <t>Pursuant to Section 11.04 of the Pooling and Servicing agreement dated July 1, 2016 for WFCM 2016-C35, NRC Group, Inc. as Subservicer certifies to Trimont LLC as Master Servicer during the above-referenced time period that there are no items to report in relation to the Subservicer and to the mortgage loans serviced by Subservicer in relation to the specified pool.</t>
  </si>
  <si>
    <t xml:space="preserve">Pursuant to Section 11.04 of the Pooling and Servicing agreement dated December 1, 2016 for JPMCC 2016-JP4, NRC Group, Inc. as Subservicer certifies to Trimont LLC as Master Servicer during the above-referenced time period that there are no items to report in relation to the Subservicer and to the mortgage loans serviced by Subservicer in relation to the specified pool.  </t>
  </si>
  <si>
    <t>Pursuant to Section 11.04 of the Pooling and Servicing agreement dated September 1, 2016 for WFCM 2016-LC24, NRC Group, Inc. as Subservicer certifies to Trimont LLC as Master Servicer during the above-referenced time period that there are no items to report in relation to the Subservicer and to the mortgage loans serviced by Subservicer in relation to the specified pool.</t>
  </si>
  <si>
    <t xml:space="preserve">Pursuant to Section 11.04 of the Pooling and Servicing agreement dated February 1, 2017 for BACM 2017-BNK3, NRC Group, Inc. as Subservicer certifies to Trimont LLC as Master Servicer during the above-referenced time period that there are no items to report in relation to the Subservicer and to the mortgage loans serviced by Subservicer in relation to the specified pool.  </t>
  </si>
  <si>
    <t xml:space="preserve">Pursuant to Section 11.04 of the Pooling and Servicing agreement dated March 1, 2017 for WFCM 2017-RB1, NRC Group, Inc. as Subservicer certifies to Trimont LLC as Master Servicer during the above-referenced time period that there are no items to report in relation to the Subservicer and to the mortgage loans serviced by Subservicer in relation to the specified pool.  </t>
  </si>
  <si>
    <t xml:space="preserve">Pursuant to Section 11.04 of the Pooling and Servicing agreement dated July 1, 2017 for JPMCC 2017-JP7, NRC Group, Inc. as Subservicer certifies to Trimont LLC as Master Servicer during the above-referenced time period that there are no items to report in relation to the Subservicer and to the mortgage loans serviced by Subservicer in relation to the specified pool.  </t>
  </si>
  <si>
    <t>Pursuant to Section 11.04 of the Pooling and Servicing agreement dated August 1, 2017 for GSMS 2017-GS7, NRC Group, Inc. as Subservicer certifies to Trimont LLC as Master Servicer during the above-referenced time period that there are no items to report in relation to the Subservicer and to the mortgage loans serviced by Subservicer in relation to the specified pool.</t>
  </si>
  <si>
    <t xml:space="preserve">Pursuant to Section 11.04 of the Pooling and Servicing agreement dated September 1, 2017 for BANK 2017-BNK7, NRC Group, Inc. as Subservicer certifies to Trimont LLC as Master Servicer during the above-referenced time period that there are no items to report in relation to the Subservicer and to the mortgage loans serviced by Subservicer in relation to the specified pool.  </t>
  </si>
  <si>
    <t>Pursuant to Section 11.04 of the Pooling and Servicing agreement dated November 1, 2017 for GSMS 2017-GS8, NRC Group, Inc. as Subservicer certifies to Trimont LLC as Master Servicer during the above-referenced time period that there are no items to report in relation to the Subservicer and to the mortgage loans serviced by Subservicer in relation to the specified pool.</t>
  </si>
  <si>
    <t xml:space="preserve">Pursuant to Section 11.04 of the Pooling and Servicing agreement dated December 1, 2017 for WFCM 2017-C42, NRC Group, Inc. as Subservicer certifies to Trimont LLC as Master Servicer during the above-referenced time period that there are no items to report in relation to the Subservicer and to the mortgage loans serviced by Subservicer in relation to the specified pool.  </t>
  </si>
  <si>
    <t xml:space="preserve">Pursuant to Section 11.04 of the Pooling and Servicing agreement dated February 1, 2019 for BANK 2019-BNK16, NRC Group, Inc. as Subservicer certifies to Trimont LLC as Master Servicer during the above-referenced time period that there are no items to report in relation to the Subservicer and to the mortgage loans serviced by Subservicer in relation to the specified pool.  </t>
  </si>
  <si>
    <t>Pursuant to Section 11.04 of the Pooling and Servicing agreement dated February 1, 2019 for GSMS 2017-GS8, NRC Group, Inc. as Subservicer certifies to Trimont LLC as Master Servicer during the above-referenced time period that there are no items to report in relation to the Subservicer and to the mortgage loans serviced by Subservicer in relation to the specified pool.</t>
  </si>
  <si>
    <t>Pursuant to Section 11.04 of the Pooling and Servicing agreement dated August 1, 2019 for BBCMS 2019-C4, NRC Group, Inc. as Subservicer certifies to Trimont LLC as Master Servicer during the above-referenced time period that there are no items to report in relation to the Subservicer and to the mortgage loans serviced by Subservicer in relation to the specified pool.</t>
  </si>
  <si>
    <t>Pursuant to Section 11.04 of the Pooling and Servicing agreement dated December 1, 2019 for BANK 2019-BNK23, NRC Group, Inc. as Subservicer certifies to Trimont LLC as Master Servicer during the above-referenced time period that there are no items to report in relation to the Subservicer and to the mortgage loans serviced by Subservicer in relation to the specified pool.</t>
  </si>
  <si>
    <t>Pursuant to Section 11.04 of the Pooling and Servicing agreement dated December 1, 2019 for BANK 2019-BNK24, NRC Group, Inc. as Subservicer certifies to Trimont LLC as Master Servicer during the above-referenced time period that there are no items to report in relation to the Subservicer and to the mortgage loans serviced by Subservicer in relation to the specified pool.</t>
  </si>
  <si>
    <t>Pursuant to Section 11.04 of the Pooling and Servicing agreement dated June 1, 2021 for BANK 2021-BNK34, NRC Group, Inc. as Subservicer certifies to Trimont LLC as Master Servicer during the above-referenced time period that there are no items to report in relation to the Subservicer and to the mortgage loans serviced by Subservicer in relation to the specified pool.</t>
  </si>
  <si>
    <t>Pursuant to Section 11.04 of the Pooling and Servicing agreement dated August 1, 2021 for BANK 2021-BNK35, NRC Group, Inc. as Subservicer certifies to Trimont LLC as Master Servicer during the above-referenced time period that there are no items to report in relation to the Subservicer and to the mortgage loans serviced by Subservicer in relation to the specified pool.</t>
  </si>
  <si>
    <t>Pursuant to Section 11.04 of the Pooling and Servicing agreement dated December 1, 2021 for BANK 2021-BNK38, NRC Group, Inc. as Subservicer certifies to Trimont LLC as Master Servicer during the above-referenced time period that there are no items to report in relation to the Subservicer and to the mortgage loans serviced by Subservicer in relation to the specified pool.</t>
  </si>
  <si>
    <t>Pursuant to Section 11.04 of the Pooling and Servicing agreement dated August 1, 2022 for BANK 2022-BNK43, NRC Group, Inc. as Subservicer certifies to Trimont LLC as Master Servicer during the above-referenced time period that there are no items to report in relation to the Subservicer and to the mortgage loans serviced by Subservicer in relation to the specified pool.</t>
  </si>
  <si>
    <t>2025-C12 BMO</t>
  </si>
  <si>
    <t>Pool Name: BMO 2025-C12</t>
  </si>
  <si>
    <t>BMO Commercial Mortgage Securities LLC</t>
  </si>
  <si>
    <t>BMO 2025-C12</t>
  </si>
  <si>
    <t>June 1, 2025, among BMO Commercial Mortgage Securities LLC as Depositor, Trimont LLC as Master Servicer, Rialto Capital Advisors, LLC as Special Servicer, Citibank, N.A. as Certificate Administrator and as Trustee and Pentalpha Surveillance LLC as Operating Advisor and as Asset Representations Reviewer.</t>
  </si>
  <si>
    <t>Subservicing Agreement dated as of June 1, 2025, between Trimont LLC, as Master Servicer, and Gantry Capital, Inc., as Subservicer.</t>
  </si>
  <si>
    <t>Pursuant to Section 10.04 of the Pooling and Servicing agreement dated June 1, 2025 for BMO 2025-C12, Gantry Capital, Inc. as Subservicer certifies to Trimont LLC as Master Servicer during the above-referenced time period that there are no items to report in relation to the Subservicer and to the mortgage loans serviced by Subservicer in relation to the specified pool.</t>
  </si>
  <si>
    <t>2025-5YR15 BANK5</t>
  </si>
  <si>
    <t>Pool Name: BANK5 2025-5YR15</t>
  </si>
  <si>
    <t>BANK5 2025-5YR15</t>
  </si>
  <si>
    <t>Subservicing Agreement dated as of July 1, 2025, between Trimont LLC, as Master Servicer, and Gantry Capital, Inc., as Subservicer.</t>
  </si>
  <si>
    <t>Pursuant to Section 11.04 of the Pooling and Servicing agreement dated July 1, 2025 for BANK5 2025-5YR15, Gantry Capital, Inc. as Subservicer certifies to Trimont LLC as Master Servicer during the above-referenced time period that there are no items to report in relation to the Subservicer and to the mortgage loans serviced by Subservicer in relation to the specified pool.</t>
  </si>
  <si>
    <t>Update Data Entry Tab</t>
  </si>
  <si>
    <t>"Reporting Date" is always the current month</t>
  </si>
  <si>
    <t>If the 11th falls on a weekend or a holiday, the determination date is the next business day</t>
  </si>
  <si>
    <t>If the 6th falls on a weekend or a holiday, the determination date is the next business day</t>
  </si>
  <si>
    <t>Print all pages to a PDF document</t>
  </si>
  <si>
    <t>Send to Mike Heagerty for signatures</t>
  </si>
  <si>
    <t>When signed documents are received, extract individual files and rename each doc to pool names</t>
  </si>
  <si>
    <t>Set a calendar reminder to do this after 2nd batch of 10-Ds are emailed to the lenders.</t>
  </si>
  <si>
    <t>Only update green fields</t>
  </si>
  <si>
    <t>Distribution Date:</t>
  </si>
  <si>
    <t>Distribution Date: four business days following the 11th (for the reporting month)</t>
  </si>
  <si>
    <t>Distribution Date: four business days following the 6th (for the reporting month)</t>
  </si>
  <si>
    <t>Email 10-Ds to Lender on Distribution Dates, copying Chelsea and LeAnn, saving a copy to each pool CREFC folder</t>
  </si>
  <si>
    <t>Day after the second Distribution Date.</t>
  </si>
  <si>
    <t>2025-5C2 MSBAM</t>
  </si>
  <si>
    <t>13333-Euless, 13335-Pearland</t>
  </si>
  <si>
    <t>Pool Name: MSBAM 2025-5C2</t>
  </si>
  <si>
    <t>MSBAM 2025-5C2</t>
  </si>
  <si>
    <t>Subservicing Agreement dated as of November 1, 2025, between Trimont LLC, as Master Servicer, and Gantry Capital, Inc., as Subservicer.</t>
  </si>
  <si>
    <t>Pursuant to Section 11.04 of the Pooling and Servicing agreement dated November 1, 2025 for MSBAM 2025-5C2, Gantry Capital, Inc. as Subservicer certifies to Trimont LLC as Master Servicer during the above-referenced time period that there are no items to report in relation to the Subservicer and to the mortgage loans serviced by Subservicer in relation to the specified pool.</t>
  </si>
  <si>
    <t>2025-5YR18 BANK5</t>
  </si>
  <si>
    <t>Pool Name: BANK5 2025-5YR18</t>
  </si>
  <si>
    <t>BANK5 2025-5YR18</t>
  </si>
  <si>
    <t>July 1, 2025, among Morgan Stanley Capital I Inc. as Depositor, Trimont LLC as Master Servicer, LNR Partners, LLC as Special Servicer, Computershare Trust Company, N.A. as Certificate Administrator and as Trustee and Park Bridge Lender Services LLC as Operating Advisor and as Asset Representations Reviewer.</t>
  </si>
  <si>
    <t>November 1, 2025, among Morgan Stanley Capital I Inc. as Depositor, Trimont LLC as Master Servicer, LNR Partners, LLC as Special Servicer, Computershare Trust Company, N.A. as Certificate Administrator, Deutsche Bank National Trust Company as Trustee and Park Bridge Lender Services LLC as Operating Advisor and as Asset Representations Reviewer.</t>
  </si>
  <si>
    <t>December 1, 2025, among Wells Fargo Commercial Mortgage Securities, Inc. as Depositor, Trimont LLC as Master Servicer, K-Star Asset Management LLC as Special Servicer, Computershare Trust Company, N.A. as Certificate Administrator, Deutsche Bank National Trust Company as Trustee, and Park Bridge Lender Services LLC as Operating Advisor and as Asset Representations Reviewer.</t>
  </si>
  <si>
    <t>Subservicing Agreement dated as of December 1, 2025, between Trimont LLC, as Master Servicer, and Gantry Capital, Inc., as Subservicer.</t>
  </si>
  <si>
    <t>Pursuant to Section 11.04 of the Pooling and Servicing agreement dated December 1, 2025 for BANK5 2025-5YR18, Gantry Capital, Inc. as Subservicer certifies to Trimont LLC as Master Servicer during the above-referenced time period that there are no items to report in relation to the Subservicer and to the mortgage loans serviced by Subservicer in relation to the specified pool.</t>
  </si>
  <si>
    <t>3/1/2026-3/31/2026</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</si>
</sst>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3">
    <numFmt numFmtId="6" formatCode="&quot;$&quot;#,##0_);[Red]\(&quot;$&quot;#,##0\)"/>
    <numFmt numFmtId="164" formatCode="[$-409]mmmm\ d\,\ yyyy;@"/>
    <numFmt numFmtId="165" formatCode="0.0000"/>
  </numFmts>
  <fonts count="6" x14ac:knownFonts="1">
    <font>
      <sz val="11"/>
      <color theme="1"/>
      <name val="Calibri"/>
      <family val="2"/>
      <scheme val="minor"/>
    </font>
    <font>
      <sz val="12"/>
      <color theme="1"/>
      <name val="Times New Roman"/>
      <family val="1"/>
    </font>
    <font>
      <b/>
      <sz val="12"/>
      <color theme="1"/>
      <name val="Times New Roman"/>
      <family val="1"/>
    </font>
    <font>
      <b/>
      <u/>
      <sz val="12"/>
      <color theme="1"/>
      <name val="Times New Roman"/>
      <family val="1"/>
    </font>
    <font>
      <sz val="9"/>
      <color theme="1"/>
      <name val="Times New Roman"/>
      <family val="1"/>
    </font>
    <font>
      <b/>
      <sz val="9"/>
      <color theme="1"/>
      <name val="Times New Roman"/>
      <family val="1"/>
    </font>
  </fonts>
  <fills count="4">
    <fill>
      <patternFill patternType="none"/>
    </fill>
    <fill>
      <patternFill patternType="gray125"/>
    </fill>
    <fill>
      <patternFill patternType="solid">
        <fgColor theme="9"/>
        <bgColor indexed="64"/>
      </patternFill>
    </fill>
    <fill>
      <patternFill patternType="solid">
        <fgColor theme="4" tint="0.79998168889431442"/>
        <bgColor indexed="64"/>
      </patternFill>
    </fill>
  </fills>
  <borders count="2">
    <border>
      <left/>
      <right/>
      <top/>
      <bottom/>
      <diagonal/>
    </border>
    <border>
      <left/>
      <right/>
      <top style="thin">
        <color indexed="64"/>
      </top>
      <bottom/>
      <diagonal/>
    </border>
  </borders>
  <cellStyleXfs count="1">
    <xf numFmtId="0" fontId="0" fillId="0" borderId="0"/>
  </cellStyleXfs>
  <cellXfs count="34">
    <xf numFmtId="0" fontId="0" fillId="0" borderId="0" xfId="0"/>
    <xf numFmtId="0" fontId="3" fillId="0" borderId="0" xfId="0" applyFont="1" applyAlignment="1">
      <alignment vertical="center"/>
    </xf>
    <xf numFmtId="0" fontId="1" fillId="0" borderId="0" xfId="0" applyFont="1"/>
    <xf numFmtId="0" fontId="1" fillId="0" borderId="0" xfId="0" applyFont="1" applyAlignment="1">
      <alignment vertical="center"/>
    </xf>
    <xf numFmtId="0" fontId="2" fillId="0" borderId="0" xfId="0" applyFont="1" applyAlignment="1">
      <alignment vertical="center"/>
    </xf>
    <xf numFmtId="0" fontId="1" fillId="0" borderId="0" xfId="0" applyFont="1" applyAlignment="1">
      <alignment vertical="center" wrapText="1"/>
    </xf>
    <xf numFmtId="14" fontId="0" fillId="0" borderId="0" xfId="0" applyNumberFormat="1"/>
    <xf numFmtId="14" fontId="1" fillId="0" borderId="0" xfId="0" applyNumberFormat="1" applyFont="1" applyAlignment="1">
      <alignment horizontal="left"/>
    </xf>
    <xf numFmtId="0" fontId="1" fillId="0" borderId="0" xfId="0" applyFont="1" applyAlignment="1">
      <alignment vertical="top" wrapText="1"/>
    </xf>
    <xf numFmtId="14" fontId="1" fillId="0" borderId="0" xfId="0" applyNumberFormat="1" applyFont="1" applyAlignment="1">
      <alignment horizontal="left" vertical="top" wrapText="1"/>
    </xf>
    <xf numFmtId="0" fontId="1" fillId="0" borderId="0" xfId="0" applyFont="1" applyAlignment="1">
      <alignment vertical="top"/>
    </xf>
    <xf numFmtId="0" fontId="4" fillId="0" borderId="0" xfId="0" applyFont="1"/>
    <xf numFmtId="0" fontId="5" fillId="0" borderId="0" xfId="0" applyFont="1"/>
    <xf numFmtId="14" fontId="4" fillId="0" borderId="0" xfId="0" applyNumberFormat="1" applyFont="1"/>
    <xf numFmtId="164" fontId="4" fillId="0" borderId="0" xfId="0" applyNumberFormat="1" applyFont="1" applyAlignment="1">
      <alignment horizontal="right"/>
    </xf>
    <xf numFmtId="164" fontId="4" fillId="0" borderId="0" xfId="0" applyNumberFormat="1" applyFont="1"/>
    <xf numFmtId="0" fontId="4" fillId="0" borderId="1" xfId="0" applyFont="1" applyBorder="1"/>
    <xf numFmtId="0" fontId="0" fillId="0" borderId="0" xfId="0" applyAlignment="1">
      <alignment vertical="top"/>
    </xf>
    <xf numFmtId="0" fontId="0" fillId="0" borderId="0" xfId="0" applyAlignment="1">
      <alignment horizontal="center"/>
    </xf>
    <xf numFmtId="14" fontId="0" fillId="0" borderId="0" xfId="0" applyNumberFormat="1" applyAlignment="1">
      <alignment horizontal="center"/>
    </xf>
    <xf numFmtId="164" fontId="0" fillId="0" borderId="0" xfId="0" applyNumberFormat="1" applyAlignment="1">
      <alignment horizontal="center"/>
    </xf>
    <xf numFmtId="165" fontId="0" fillId="0" borderId="0" xfId="0" applyNumberFormat="1"/>
    <xf numFmtId="10" fontId="0" fillId="0" borderId="0" xfId="0" applyNumberFormat="1"/>
    <xf numFmtId="6" fontId="0" fillId="0" borderId="0" xfId="0" applyNumberFormat="1"/>
    <xf numFmtId="14" fontId="1" fillId="0" borderId="0" xfId="0" applyNumberFormat="1" applyFont="1" applyAlignment="1">
      <alignment horizontal="left" vertical="center" wrapText="1"/>
    </xf>
    <xf numFmtId="0" fontId="1" fillId="0" borderId="0" xfId="0" applyFont="1" applyAlignment="1">
      <alignment horizontal="left" vertical="top" wrapText="1"/>
    </xf>
    <xf numFmtId="0" fontId="4" fillId="0" borderId="0" xfId="0" applyFont="1" applyAlignment="1">
      <alignment horizontal="left" vertical="top" wrapText="1"/>
    </xf>
    <xf numFmtId="0" fontId="0" fillId="2" borderId="0" xfId="0" applyFill="1" applyAlignment="1">
      <alignment horizontal="center"/>
    </xf>
    <xf numFmtId="14" fontId="0" fillId="2" borderId="0" xfId="0" applyNumberFormat="1" applyFill="1" applyAlignment="1">
      <alignment horizontal="center"/>
    </xf>
    <xf numFmtId="0" fontId="0" fillId="2" borderId="0" xfId="0" applyFill="1"/>
    <xf numFmtId="14" fontId="0" fillId="3" borderId="0" xfId="0" applyNumberFormat="1" applyFill="1" applyAlignment="1">
      <alignment horizontal="center"/>
    </xf>
    <xf numFmtId="14" fontId="1" fillId="0" borderId="0" xfId="0" applyNumberFormat="1" applyFont="1" applyAlignment="1">
      <alignment horizontal="left" vertical="center" wrapText="1"/>
    </xf>
    <xf numFmtId="0" fontId="1" fillId="0" borderId="0" xfId="0" applyFont="1" applyAlignment="1">
      <alignment horizontal="left" vertical="top" wrapText="1"/>
    </xf>
    <xf numFmtId="0" fontId="4" fillId="0" borderId="0" xfId="0" applyFont="1" applyAlignment="1">
      <alignment horizontal="left" vertical="top" wrapText="1"/>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3" Type="http://schemas.openxmlformats.org/officeDocument/2006/relationships/worksheet" Target="worksheets/sheet13.xml"/><Relationship Id="rId18" Type="http://schemas.openxmlformats.org/officeDocument/2006/relationships/worksheet" Target="worksheets/sheet18.xml"/><Relationship Id="rId26" Type="http://schemas.openxmlformats.org/officeDocument/2006/relationships/worksheet" Target="worksheets/sheet26.xml"/><Relationship Id="rId3" Type="http://schemas.openxmlformats.org/officeDocument/2006/relationships/worksheet" Target="worksheets/sheet3.xml"/><Relationship Id="rId21" Type="http://schemas.openxmlformats.org/officeDocument/2006/relationships/worksheet" Target="worksheets/sheet21.xml"/><Relationship Id="rId34" Type="http://schemas.openxmlformats.org/officeDocument/2006/relationships/sharedStrings" Target="sharedStrings.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worksheet" Target="worksheets/sheet17.xml"/><Relationship Id="rId25" Type="http://schemas.openxmlformats.org/officeDocument/2006/relationships/worksheet" Target="worksheets/sheet25.xml"/><Relationship Id="rId33" Type="http://schemas.openxmlformats.org/officeDocument/2006/relationships/styles" Target="styles.xml"/><Relationship Id="rId2" Type="http://schemas.openxmlformats.org/officeDocument/2006/relationships/worksheet" Target="worksheets/sheet2.xml"/><Relationship Id="rId16" Type="http://schemas.openxmlformats.org/officeDocument/2006/relationships/worksheet" Target="worksheets/sheet16.xml"/><Relationship Id="rId20" Type="http://schemas.openxmlformats.org/officeDocument/2006/relationships/worksheet" Target="worksheets/sheet20.xml"/><Relationship Id="rId29" Type="http://schemas.openxmlformats.org/officeDocument/2006/relationships/worksheet" Target="worksheets/sheet29.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24" Type="http://schemas.openxmlformats.org/officeDocument/2006/relationships/worksheet" Target="worksheets/sheet24.xml"/><Relationship Id="rId32" Type="http://schemas.openxmlformats.org/officeDocument/2006/relationships/theme" Target="theme/theme1.xml"/><Relationship Id="rId5" Type="http://schemas.openxmlformats.org/officeDocument/2006/relationships/worksheet" Target="worksheets/sheet5.xml"/><Relationship Id="rId15" Type="http://schemas.openxmlformats.org/officeDocument/2006/relationships/worksheet" Target="worksheets/sheet15.xml"/><Relationship Id="rId23" Type="http://schemas.openxmlformats.org/officeDocument/2006/relationships/worksheet" Target="worksheets/sheet23.xml"/><Relationship Id="rId28" Type="http://schemas.openxmlformats.org/officeDocument/2006/relationships/worksheet" Target="worksheets/sheet28.xml"/><Relationship Id="rId10" Type="http://schemas.openxmlformats.org/officeDocument/2006/relationships/worksheet" Target="worksheets/sheet10.xml"/><Relationship Id="rId19" Type="http://schemas.openxmlformats.org/officeDocument/2006/relationships/worksheet" Target="worksheets/sheet19.xml"/><Relationship Id="rId31" Type="http://schemas.openxmlformats.org/officeDocument/2006/relationships/worksheet" Target="worksheets/sheet31.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 Id="rId22" Type="http://schemas.openxmlformats.org/officeDocument/2006/relationships/worksheet" Target="worksheets/sheet22.xml"/><Relationship Id="rId27" Type="http://schemas.openxmlformats.org/officeDocument/2006/relationships/worksheet" Target="worksheets/sheet27.xml"/><Relationship Id="rId30" Type="http://schemas.openxmlformats.org/officeDocument/2006/relationships/worksheet" Target="worksheets/sheet30.xml"/><Relationship Id="rId35" Type="http://schemas.openxmlformats.org/officeDocument/2006/relationships/calcChain" Target="calcChain.xml"/><Relationship Id="rId8" Type="http://schemas.openxmlformats.org/officeDocument/2006/relationships/worksheet" Target="worksheets/sheet8.xml"/></Relationships>
</file>

<file path=xl/theme/theme1.xml><?xml version="1.0" encoding="utf-8"?>
<a:theme xmlns:a="http://schemas.openxmlformats.org/drawingml/2006/main" name="Office 2013 - 2022 Theme">
  <a:themeElements>
    <a:clrScheme name="Office 2013 - 2022">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2013 - 2022">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2013 - 2022">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2013 - 2022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3" Type="http://schemas.openxmlformats.org/officeDocument/2006/relationships/printerSettings" Target="../printerSettings/printerSettings4.bin"/><Relationship Id="rId2" Type="http://schemas.openxmlformats.org/officeDocument/2006/relationships/printerSettings" Target="../printerSettings/printerSettings3.bin"/><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3" Type="http://schemas.openxmlformats.org/officeDocument/2006/relationships/printerSettings" Target="../printerSettings/printerSettings7.bin"/><Relationship Id="rId2" Type="http://schemas.openxmlformats.org/officeDocument/2006/relationships/printerSettings" Target="../printerSettings/printerSettings6.bin"/><Relationship Id="rId1" Type="http://schemas.openxmlformats.org/officeDocument/2006/relationships/printerSettings" Target="../printerSettings/printerSettings5.bin"/></Relationships>
</file>

<file path=xl/worksheets/_rels/sheet4.xml.rels><?xml version="1.0" encoding="UTF-8" standalone="yes"?>
<Relationships xmlns="http://schemas.openxmlformats.org/package/2006/relationships"><Relationship Id="rId3" Type="http://schemas.openxmlformats.org/officeDocument/2006/relationships/printerSettings" Target="../printerSettings/printerSettings10.bin"/><Relationship Id="rId2" Type="http://schemas.openxmlformats.org/officeDocument/2006/relationships/printerSettings" Target="../printerSettings/printerSettings9.bin"/><Relationship Id="rId1" Type="http://schemas.openxmlformats.org/officeDocument/2006/relationships/printerSettings" Target="../printerSettings/printerSettings8.bin"/></Relationships>
</file>

<file path=xl/worksheets/_rels/sheet5.xml.rels><?xml version="1.0" encoding="UTF-8" standalone="yes"?>
<Relationships xmlns="http://schemas.openxmlformats.org/package/2006/relationships"><Relationship Id="rId3" Type="http://schemas.openxmlformats.org/officeDocument/2006/relationships/printerSettings" Target="../printerSettings/printerSettings13.bin"/><Relationship Id="rId2" Type="http://schemas.openxmlformats.org/officeDocument/2006/relationships/printerSettings" Target="../printerSettings/printerSettings12.bin"/><Relationship Id="rId1" Type="http://schemas.openxmlformats.org/officeDocument/2006/relationships/printerSettings" Target="../printerSettings/printerSettings11.bin"/></Relationships>
</file>

<file path=xl/worksheets/_rels/sheet6.xml.rels><?xml version="1.0" encoding="UTF-8" standalone="yes"?>
<Relationships xmlns="http://schemas.openxmlformats.org/package/2006/relationships"><Relationship Id="rId3" Type="http://schemas.openxmlformats.org/officeDocument/2006/relationships/printerSettings" Target="../printerSettings/printerSettings16.bin"/><Relationship Id="rId2" Type="http://schemas.openxmlformats.org/officeDocument/2006/relationships/printerSettings" Target="../printerSettings/printerSettings15.bin"/><Relationship Id="rId1" Type="http://schemas.openxmlformats.org/officeDocument/2006/relationships/printerSettings" Target="../printerSettings/printerSettings14.bin"/></Relationships>
</file>

<file path=xl/worksheets/_rels/sheet7.xml.rels><?xml version="1.0" encoding="UTF-8" standalone="yes"?>
<Relationships xmlns="http://schemas.openxmlformats.org/package/2006/relationships"><Relationship Id="rId3" Type="http://schemas.openxmlformats.org/officeDocument/2006/relationships/printerSettings" Target="../printerSettings/printerSettings19.bin"/><Relationship Id="rId2" Type="http://schemas.openxmlformats.org/officeDocument/2006/relationships/printerSettings" Target="../printerSettings/printerSettings18.bin"/><Relationship Id="rId1" Type="http://schemas.openxmlformats.org/officeDocument/2006/relationships/printerSettings" Target="../printerSettings/printerSettings17.bin"/></Relationships>
</file>

<file path=xl/worksheets/_rels/sheet8.xml.rels><?xml version="1.0" encoding="UTF-8" standalone="yes"?>
<Relationships xmlns="http://schemas.openxmlformats.org/package/2006/relationships"><Relationship Id="rId3" Type="http://schemas.openxmlformats.org/officeDocument/2006/relationships/printerSettings" Target="../printerSettings/printerSettings22.bin"/><Relationship Id="rId2" Type="http://schemas.openxmlformats.org/officeDocument/2006/relationships/printerSettings" Target="../printerSettings/printerSettings21.bin"/><Relationship Id="rId1" Type="http://schemas.openxmlformats.org/officeDocument/2006/relationships/printerSettings" Target="../printerSettings/printerSettings20.bin"/></Relationships>
</file>

<file path=xl/worksheets/_rels/sheet9.xml.rels><?xml version="1.0" encoding="UTF-8" standalone="yes"?>
<Relationships xmlns="http://schemas.openxmlformats.org/package/2006/relationships"><Relationship Id="rId3" Type="http://schemas.openxmlformats.org/officeDocument/2006/relationships/printerSettings" Target="../printerSettings/printerSettings25.bin"/><Relationship Id="rId2" Type="http://schemas.openxmlformats.org/officeDocument/2006/relationships/printerSettings" Target="../printerSettings/printerSettings24.bin"/><Relationship Id="rId1" Type="http://schemas.openxmlformats.org/officeDocument/2006/relationships/printerSettings" Target="../printerSettings/printerSettings23.bin"/></Relationships>
</file>

<file path=xl/worksheets/_rels/sheet10.xml.rels><?xml version="1.0" encoding="UTF-8" standalone="yes"?>
<Relationships xmlns="http://schemas.openxmlformats.org/package/2006/relationships"><Relationship Id="rId3" Type="http://schemas.openxmlformats.org/officeDocument/2006/relationships/printerSettings" Target="../printerSettings/printerSettings28.bin"/><Relationship Id="rId2" Type="http://schemas.openxmlformats.org/officeDocument/2006/relationships/printerSettings" Target="../printerSettings/printerSettings27.bin"/><Relationship Id="rId1" Type="http://schemas.openxmlformats.org/officeDocument/2006/relationships/printerSettings" Target="../printerSettings/printerSettings26.bin"/></Relationships>
</file>

<file path=xl/worksheets/_rels/sheet11.xml.rels><?xml version="1.0" encoding="UTF-8" standalone="yes"?>
<Relationships xmlns="http://schemas.openxmlformats.org/package/2006/relationships"><Relationship Id="rId3" Type="http://schemas.openxmlformats.org/officeDocument/2006/relationships/printerSettings" Target="../printerSettings/printerSettings31.bin"/><Relationship Id="rId2" Type="http://schemas.openxmlformats.org/officeDocument/2006/relationships/printerSettings" Target="../printerSettings/printerSettings30.bin"/><Relationship Id="rId1" Type="http://schemas.openxmlformats.org/officeDocument/2006/relationships/printerSettings" Target="../printerSettings/printerSettings29.bin"/></Relationships>
</file>

<file path=xl/worksheets/_rels/sheet12.xml.rels><?xml version="1.0" encoding="UTF-8" standalone="yes"?>
<Relationships xmlns="http://schemas.openxmlformats.org/package/2006/relationships"><Relationship Id="rId3" Type="http://schemas.openxmlformats.org/officeDocument/2006/relationships/printerSettings" Target="../printerSettings/printerSettings34.bin"/><Relationship Id="rId2" Type="http://schemas.openxmlformats.org/officeDocument/2006/relationships/printerSettings" Target="../printerSettings/printerSettings33.bin"/><Relationship Id="rId1" Type="http://schemas.openxmlformats.org/officeDocument/2006/relationships/printerSettings" Target="../printerSettings/printerSettings32.bin"/></Relationships>
</file>

<file path=xl/worksheets/_rels/sheet13.xml.rels><?xml version="1.0" encoding="UTF-8" standalone="yes"?>
<Relationships xmlns="http://schemas.openxmlformats.org/package/2006/relationships"><Relationship Id="rId3" Type="http://schemas.openxmlformats.org/officeDocument/2006/relationships/printerSettings" Target="../printerSettings/printerSettings37.bin"/><Relationship Id="rId2" Type="http://schemas.openxmlformats.org/officeDocument/2006/relationships/printerSettings" Target="../printerSettings/printerSettings36.bin"/><Relationship Id="rId1" Type="http://schemas.openxmlformats.org/officeDocument/2006/relationships/printerSettings" Target="../printerSettings/printerSettings35.bin"/></Relationships>
</file>

<file path=xl/worksheets/_rels/sheet14.xml.rels><?xml version="1.0" encoding="UTF-8" standalone="yes"?>
<Relationships xmlns="http://schemas.openxmlformats.org/package/2006/relationships"><Relationship Id="rId3" Type="http://schemas.openxmlformats.org/officeDocument/2006/relationships/printerSettings" Target="../printerSettings/printerSettings40.bin"/><Relationship Id="rId2" Type="http://schemas.openxmlformats.org/officeDocument/2006/relationships/printerSettings" Target="../printerSettings/printerSettings39.bin"/><Relationship Id="rId1" Type="http://schemas.openxmlformats.org/officeDocument/2006/relationships/printerSettings" Target="../printerSettings/printerSettings38.bin"/></Relationships>
</file>

<file path=xl/worksheets/_rels/sheet15.xml.rels><?xml version="1.0" encoding="UTF-8" standalone="yes"?>
<Relationships xmlns="http://schemas.openxmlformats.org/package/2006/relationships"><Relationship Id="rId3" Type="http://schemas.openxmlformats.org/officeDocument/2006/relationships/printerSettings" Target="../printerSettings/printerSettings43.bin"/><Relationship Id="rId2" Type="http://schemas.openxmlformats.org/officeDocument/2006/relationships/printerSettings" Target="../printerSettings/printerSettings42.bin"/><Relationship Id="rId1" Type="http://schemas.openxmlformats.org/officeDocument/2006/relationships/printerSettings" Target="../printerSettings/printerSettings41.bin"/></Relationships>
</file>

<file path=xl/worksheets/_rels/sheet16.xml.rels><?xml version="1.0" encoding="UTF-8" standalone="yes"?>
<Relationships xmlns="http://schemas.openxmlformats.org/package/2006/relationships"><Relationship Id="rId3" Type="http://schemas.openxmlformats.org/officeDocument/2006/relationships/printerSettings" Target="../printerSettings/printerSettings46.bin"/><Relationship Id="rId2" Type="http://schemas.openxmlformats.org/officeDocument/2006/relationships/printerSettings" Target="../printerSettings/printerSettings45.bin"/><Relationship Id="rId1" Type="http://schemas.openxmlformats.org/officeDocument/2006/relationships/printerSettings" Target="../printerSettings/printerSettings44.bin"/></Relationships>
</file>

<file path=xl/worksheets/_rels/sheet17.xml.rels><?xml version="1.0" encoding="UTF-8" standalone="yes"?>
<Relationships xmlns="http://schemas.openxmlformats.org/package/2006/relationships"><Relationship Id="rId3" Type="http://schemas.openxmlformats.org/officeDocument/2006/relationships/printerSettings" Target="../printerSettings/printerSettings49.bin"/><Relationship Id="rId2" Type="http://schemas.openxmlformats.org/officeDocument/2006/relationships/printerSettings" Target="../printerSettings/printerSettings48.bin"/><Relationship Id="rId1" Type="http://schemas.openxmlformats.org/officeDocument/2006/relationships/printerSettings" Target="../printerSettings/printerSettings47.bin"/></Relationships>
</file>

<file path=xl/worksheets/_rels/sheet18.xml.rels><?xml version="1.0" encoding="UTF-8" standalone="yes"?>
<Relationships xmlns="http://schemas.openxmlformats.org/package/2006/relationships"><Relationship Id="rId3" Type="http://schemas.openxmlformats.org/officeDocument/2006/relationships/printerSettings" Target="../printerSettings/printerSettings52.bin"/><Relationship Id="rId2" Type="http://schemas.openxmlformats.org/officeDocument/2006/relationships/printerSettings" Target="../printerSettings/printerSettings51.bin"/><Relationship Id="rId1" Type="http://schemas.openxmlformats.org/officeDocument/2006/relationships/printerSettings" Target="../printerSettings/printerSettings50.bin"/></Relationships>
</file>

<file path=xl/worksheets/_rels/sheet19.xml.rels><?xml version="1.0" encoding="UTF-8" standalone="yes"?>
<Relationships xmlns="http://schemas.openxmlformats.org/package/2006/relationships"><Relationship Id="rId3" Type="http://schemas.openxmlformats.org/officeDocument/2006/relationships/printerSettings" Target="../printerSettings/printerSettings55.bin"/><Relationship Id="rId2" Type="http://schemas.openxmlformats.org/officeDocument/2006/relationships/printerSettings" Target="../printerSettings/printerSettings54.bin"/><Relationship Id="rId1" Type="http://schemas.openxmlformats.org/officeDocument/2006/relationships/printerSettings" Target="../printerSettings/printerSettings53.bin"/></Relationships>
</file>

<file path=xl/worksheets/_rels/sheet20.xml.rels><?xml version="1.0" encoding="UTF-8" standalone="yes"?>
<Relationships xmlns="http://schemas.openxmlformats.org/package/2006/relationships"><Relationship Id="rId3" Type="http://schemas.openxmlformats.org/officeDocument/2006/relationships/printerSettings" Target="../printerSettings/printerSettings58.bin"/><Relationship Id="rId2" Type="http://schemas.openxmlformats.org/officeDocument/2006/relationships/printerSettings" Target="../printerSettings/printerSettings57.bin"/><Relationship Id="rId1" Type="http://schemas.openxmlformats.org/officeDocument/2006/relationships/printerSettings" Target="../printerSettings/printerSettings56.bin"/></Relationships>
</file>

<file path=xl/worksheets/_rels/sheet21.xml.rels><?xml version="1.0" encoding="UTF-8" standalone="yes"?>
<Relationships xmlns="http://schemas.openxmlformats.org/package/2006/relationships"><Relationship Id="rId3" Type="http://schemas.openxmlformats.org/officeDocument/2006/relationships/printerSettings" Target="../printerSettings/printerSettings61.bin"/><Relationship Id="rId2" Type="http://schemas.openxmlformats.org/officeDocument/2006/relationships/printerSettings" Target="../printerSettings/printerSettings60.bin"/><Relationship Id="rId1" Type="http://schemas.openxmlformats.org/officeDocument/2006/relationships/printerSettings" Target="../printerSettings/printerSettings59.bin"/></Relationships>
</file>

<file path=xl/worksheets/_rels/sheet22.xml.rels><?xml version="1.0" encoding="UTF-8" standalone="yes"?>
<Relationships xmlns="http://schemas.openxmlformats.org/package/2006/relationships"><Relationship Id="rId3" Type="http://schemas.openxmlformats.org/officeDocument/2006/relationships/printerSettings" Target="../printerSettings/printerSettings64.bin"/><Relationship Id="rId2" Type="http://schemas.openxmlformats.org/officeDocument/2006/relationships/printerSettings" Target="../printerSettings/printerSettings63.bin"/><Relationship Id="rId1" Type="http://schemas.openxmlformats.org/officeDocument/2006/relationships/printerSettings" Target="../printerSettings/printerSettings62.bin"/></Relationships>
</file>

<file path=xl/worksheets/_rels/sheet23.xml.rels><?xml version="1.0" encoding="UTF-8" standalone="yes"?>
<Relationships xmlns="http://schemas.openxmlformats.org/package/2006/relationships"><Relationship Id="rId2" Type="http://schemas.openxmlformats.org/officeDocument/2006/relationships/printerSettings" Target="../printerSettings/printerSettings66.bin"/><Relationship Id="rId1" Type="http://schemas.openxmlformats.org/officeDocument/2006/relationships/printerSettings" Target="../printerSettings/printerSettings65.bin"/></Relationships>
</file>

<file path=xl/worksheets/_rels/sheet24.xml.rels><?xml version="1.0" encoding="UTF-8" standalone="yes"?>
<Relationships xmlns="http://schemas.openxmlformats.org/package/2006/relationships"><Relationship Id="rId1" Type="http://schemas.openxmlformats.org/officeDocument/2006/relationships/printerSettings" Target="../printerSettings/printerSettings67.bin"/></Relationships>
</file>

<file path=xl/worksheets/_rels/sheet25.xml.rels><?xml version="1.0" encoding="UTF-8" standalone="yes"?>
<Relationships xmlns="http://schemas.openxmlformats.org/package/2006/relationships"><Relationship Id="rId1" Type="http://schemas.openxmlformats.org/officeDocument/2006/relationships/printerSettings" Target="../printerSettings/printerSettings68.bin"/></Relationships>
</file>

<file path=xl/worksheets/_rels/sheet26.xml.rels><?xml version="1.0" encoding="UTF-8" standalone="yes"?>
<Relationships xmlns="http://schemas.openxmlformats.org/package/2006/relationships"><Relationship Id="rId1" Type="http://schemas.openxmlformats.org/officeDocument/2006/relationships/printerSettings" Target="../printerSettings/printerSettings69.bin"/></Relationships>
</file>

<file path=xl/worksheets/_rels/sheet27.xml.rels><?xml version="1.0" encoding="UTF-8" standalone="yes"?>
<Relationships xmlns="http://schemas.openxmlformats.org/package/2006/relationships"><Relationship Id="rId1" Type="http://schemas.openxmlformats.org/officeDocument/2006/relationships/printerSettings" Target="../printerSettings/printerSettings70.bin"/></Relationships>
</file>

<file path=xl/worksheets/_rels/sheet28.xml.rels><?xml version="1.0" encoding="UTF-8" standalone="yes"?>
<Relationships xmlns="http://schemas.openxmlformats.org/package/2006/relationships"><Relationship Id="rId1" Type="http://schemas.openxmlformats.org/officeDocument/2006/relationships/printerSettings" Target="../printerSettings/printerSettings71.bin"/></Relationships>
</file>

<file path=xl/worksheets/_rels/sheet29.xml.rels><?xml version="1.0" encoding="UTF-8" standalone="yes"?>
<Relationships xmlns="http://schemas.openxmlformats.org/package/2006/relationships"><Relationship Id="rId1" Type="http://schemas.openxmlformats.org/officeDocument/2006/relationships/printerSettings" Target="../printerSettings/printerSettings72.bin"/></Relationships>
</file>

<file path=xl/worksheets/_rels/sheet30.xml.rels><?xml version="1.0" encoding="UTF-8" standalone="yes"?>
<Relationships xmlns="http://schemas.openxmlformats.org/package/2006/relationships"><Relationship Id="rId1" Type="http://schemas.openxmlformats.org/officeDocument/2006/relationships/printerSettings" Target="../printerSettings/printerSettings73.bin"/></Relationships>
</file>

<file path=xl/worksheets/_rels/sheet31.xml.rels><?xml version="1.0" encoding="UTF-8" standalone="yes"?>
<Relationships xmlns="http://schemas.openxmlformats.org/package/2006/relationships"><Relationship Id="rId1" Type="http://schemas.openxmlformats.org/officeDocument/2006/relationships/printerSettings" Target="../printerSettings/printerSettings74.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8DEA653-69E3-40BB-90C8-4EC94A53F537}">
  <sheetPr>
    <tabColor theme="7" tint="0.39997558519241921"/>
  </sheetPr>
  <dimension ref="A1:B22"/>
  <sheetViews>
    <sheetView zoomScale="130" zoomScaleNormal="130" workbookViewId="0">
      <selection activeCell="A5" sqref="A5:A6"/>
    </sheetView>
  </sheetViews>
  <sheetFormatPr defaultRowHeight="14.4" x14ac:dyDescent="0.3"/>
  <cols>
    <col min="1" max="1" width="95.5546875" bestFit="1" customWidth="1"/>
    <col min="2" max="2" width="15" bestFit="1" customWidth="1"/>
  </cols>
  <sheetData>
    <row r="1" spans="1:2" x14ac:dyDescent="0.3">
      <c r="A1" t="s">
        <v>189</v>
      </c>
    </row>
    <row r="3" spans="1:2" x14ac:dyDescent="0.3">
      <c r="A3" t="s">
        <v>190</v>
      </c>
    </row>
    <row r="5" spans="1:2" x14ac:dyDescent="0.3">
      <c r="A5" t="s">
        <v>199</v>
      </c>
      <c r="B5" s="19"/>
    </row>
    <row r="6" spans="1:2" x14ac:dyDescent="0.3">
      <c r="A6" t="s">
        <v>191</v>
      </c>
      <c r="B6" s="19"/>
    </row>
    <row r="7" spans="1:2" x14ac:dyDescent="0.3">
      <c r="B7" s="19"/>
    </row>
    <row r="8" spans="1:2" x14ac:dyDescent="0.3">
      <c r="A8" t="s">
        <v>200</v>
      </c>
      <c r="B8" s="19"/>
    </row>
    <row r="9" spans="1:2" x14ac:dyDescent="0.3">
      <c r="A9" t="s">
        <v>192</v>
      </c>
      <c r="B9" s="20"/>
    </row>
    <row r="10" spans="1:2" x14ac:dyDescent="0.3">
      <c r="B10" s="20"/>
    </row>
    <row r="11" spans="1:2" x14ac:dyDescent="0.3">
      <c r="A11" t="s">
        <v>193</v>
      </c>
    </row>
    <row r="13" spans="1:2" x14ac:dyDescent="0.3">
      <c r="A13" t="s">
        <v>194</v>
      </c>
    </row>
    <row r="15" spans="1:2" x14ac:dyDescent="0.3">
      <c r="A15" t="s">
        <v>195</v>
      </c>
    </row>
    <row r="17" spans="1:1" x14ac:dyDescent="0.3">
      <c r="A17" t="s">
        <v>201</v>
      </c>
    </row>
    <row r="19" spans="1:1" x14ac:dyDescent="0.3">
      <c r="A19" t="s">
        <v>196</v>
      </c>
    </row>
    <row r="20" spans="1:1" x14ac:dyDescent="0.3">
      <c r="A20" t="s">
        <v>202</v>
      </c>
    </row>
    <row r="22" spans="1:1" x14ac:dyDescent="0.3">
      <c r="A22" s="29" t="s">
        <v>197</v>
      </c>
    </row>
  </sheetData>
  <pageMargins left="0.7" right="0.7" top="0.75" bottom="0.75" header="0.3" footer="0.3"/>
  <pageSetup orientation="portrait" horizontalDpi="1200" verticalDpi="1200"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tabColor theme="9" tint="-0.249977111117893"/>
    <pageSetUpPr fitToPage="1"/>
  </sheetPr>
  <dimension ref="A2:J48"/>
  <sheetViews>
    <sheetView tabSelected="1" zoomScale="125" workbookViewId="0">
      <selection activeCell="F18" sqref="F18"/>
    </sheetView>
  </sheetViews>
  <sheetFormatPr defaultRowHeight="14.4" x14ac:dyDescent="0.3"/>
  <cols>
    <col min="1" max="1" width="18.5546875" customWidth="1"/>
    <col min="2" max="2" width="21" customWidth="1"/>
    <col min="5" max="5" width="10.44140625" customWidth="1"/>
    <col min="9" max="9" width="24.44140625" customWidth="1"/>
  </cols>
  <sheetData>
    <row r="2" spans="1:9" x14ac:dyDescent="0.3">
      <c r="A2" t="s">
        <v>13</v>
      </c>
      <c r="B2" s="27" t="s">
        <v>217</v>
      </c>
    </row>
    <row r="3" spans="1:9" x14ac:dyDescent="0.3">
      <c r="A3" t="s">
        <v>198</v>
      </c>
      <c r="B3" s="30">
        <v>46124</v>
      </c>
      <c r="C3" t="s">
        <v>137</v>
      </c>
    </row>
    <row r="4" spans="1:9" x14ac:dyDescent="0.3">
      <c r="A4" t="s">
        <v>198</v>
      </c>
      <c r="B4" s="28">
        <v>46129</v>
      </c>
      <c r="C4" t="s">
        <v>18</v>
      </c>
    </row>
    <row r="5" spans="1:9" x14ac:dyDescent="0.3">
      <c r="A5" t="s">
        <v>14</v>
      </c>
      <c r="B5" s="20">
        <f>B3</f>
        <v>46124</v>
      </c>
      <c r="C5" t="s">
        <v>137</v>
      </c>
    </row>
    <row r="6" spans="1:9" x14ac:dyDescent="0.3">
      <c r="A6" t="s">
        <v>14</v>
      </c>
      <c r="B6" s="20">
        <f>B4</f>
        <v>46129</v>
      </c>
      <c r="C6" t="s">
        <v>18</v>
      </c>
    </row>
    <row r="7" spans="1:9" x14ac:dyDescent="0.3">
      <c r="A7" t="s">
        <v>15</v>
      </c>
      <c r="B7" s="18" t="s">
        <v>100</v>
      </c>
    </row>
    <row r="8" spans="1:9" x14ac:dyDescent="0.3">
      <c r="A8" t="s">
        <v>16</v>
      </c>
      <c r="B8" s="18" t="s">
        <v>101</v>
      </c>
    </row>
    <row r="11" spans="1:9" x14ac:dyDescent="0.3">
      <c r="I11" s="23"/>
    </row>
    <row r="12" spans="1:9" x14ac:dyDescent="0.3">
      <c r="A12" t="s">
        <v>83</v>
      </c>
    </row>
    <row r="13" spans="1:9" x14ac:dyDescent="0.3">
      <c r="A13" t="s">
        <v>84</v>
      </c>
      <c r="B13">
        <v>7476</v>
      </c>
    </row>
    <row r="14" spans="1:9" x14ac:dyDescent="0.3">
      <c r="A14" t="s">
        <v>32</v>
      </c>
      <c r="B14">
        <v>7373</v>
      </c>
    </row>
    <row r="15" spans="1:9" x14ac:dyDescent="0.3">
      <c r="A15" t="s">
        <v>37</v>
      </c>
      <c r="B15">
        <v>7515</v>
      </c>
    </row>
    <row r="16" spans="1:9" x14ac:dyDescent="0.3">
      <c r="A16" t="s">
        <v>85</v>
      </c>
      <c r="B16">
        <v>7851</v>
      </c>
    </row>
    <row r="17" spans="1:10" x14ac:dyDescent="0.3">
      <c r="A17" t="s">
        <v>86</v>
      </c>
      <c r="B17">
        <v>7794</v>
      </c>
    </row>
    <row r="18" spans="1:10" x14ac:dyDescent="0.3">
      <c r="A18" t="s">
        <v>96</v>
      </c>
      <c r="B18">
        <v>8185</v>
      </c>
    </row>
    <row r="25" spans="1:10" x14ac:dyDescent="0.3">
      <c r="A25" t="s">
        <v>87</v>
      </c>
    </row>
    <row r="26" spans="1:10" x14ac:dyDescent="0.3">
      <c r="A26" t="s">
        <v>28</v>
      </c>
      <c r="B26">
        <v>7402</v>
      </c>
    </row>
    <row r="27" spans="1:10" x14ac:dyDescent="0.3">
      <c r="A27" t="s">
        <v>42</v>
      </c>
      <c r="B27" t="s">
        <v>117</v>
      </c>
    </row>
    <row r="28" spans="1:10" x14ac:dyDescent="0.3">
      <c r="A28" t="s">
        <v>45</v>
      </c>
      <c r="B28">
        <v>7426</v>
      </c>
    </row>
    <row r="29" spans="1:10" x14ac:dyDescent="0.3">
      <c r="A29" t="s">
        <v>48</v>
      </c>
      <c r="B29">
        <v>7718</v>
      </c>
    </row>
    <row r="30" spans="1:10" x14ac:dyDescent="0.3">
      <c r="A30" t="s">
        <v>52</v>
      </c>
      <c r="B30">
        <v>7427</v>
      </c>
      <c r="J30" s="22"/>
    </row>
    <row r="31" spans="1:10" x14ac:dyDescent="0.3">
      <c r="A31" t="s">
        <v>56</v>
      </c>
      <c r="B31" t="s">
        <v>118</v>
      </c>
    </row>
    <row r="32" spans="1:10" x14ac:dyDescent="0.3">
      <c r="A32" t="s">
        <v>60</v>
      </c>
      <c r="B32">
        <v>7685</v>
      </c>
      <c r="J32" s="22"/>
    </row>
    <row r="33" spans="1:10" x14ac:dyDescent="0.3">
      <c r="A33" t="s">
        <v>88</v>
      </c>
      <c r="B33">
        <v>7892</v>
      </c>
      <c r="J33" s="22"/>
    </row>
    <row r="34" spans="1:10" x14ac:dyDescent="0.3">
      <c r="A34" t="s">
        <v>89</v>
      </c>
      <c r="B34" t="s">
        <v>119</v>
      </c>
      <c r="J34" s="21"/>
    </row>
    <row r="35" spans="1:10" x14ac:dyDescent="0.3">
      <c r="A35" t="s">
        <v>90</v>
      </c>
      <c r="B35">
        <v>8143</v>
      </c>
    </row>
    <row r="36" spans="1:10" x14ac:dyDescent="0.3">
      <c r="A36" t="s">
        <v>91</v>
      </c>
      <c r="B36">
        <v>8570</v>
      </c>
    </row>
    <row r="37" spans="1:10" x14ac:dyDescent="0.3">
      <c r="A37" t="s">
        <v>102</v>
      </c>
      <c r="B37">
        <v>8823</v>
      </c>
      <c r="D37" t="s">
        <v>120</v>
      </c>
    </row>
    <row r="38" spans="1:10" x14ac:dyDescent="0.3">
      <c r="A38" t="s">
        <v>109</v>
      </c>
      <c r="B38">
        <v>8892</v>
      </c>
    </row>
    <row r="39" spans="1:10" x14ac:dyDescent="0.3">
      <c r="A39" t="s">
        <v>116</v>
      </c>
      <c r="B39">
        <v>8960</v>
      </c>
    </row>
    <row r="40" spans="1:10" x14ac:dyDescent="0.3">
      <c r="A40" t="s">
        <v>121</v>
      </c>
      <c r="B40">
        <v>10364</v>
      </c>
    </row>
    <row r="41" spans="1:10" x14ac:dyDescent="0.3">
      <c r="A41" t="s">
        <v>127</v>
      </c>
      <c r="B41">
        <v>10359</v>
      </c>
    </row>
    <row r="42" spans="1:10" x14ac:dyDescent="0.3">
      <c r="A42" t="s">
        <v>136</v>
      </c>
      <c r="B42">
        <v>10554</v>
      </c>
    </row>
    <row r="43" spans="1:10" x14ac:dyDescent="0.3">
      <c r="A43" t="s">
        <v>143</v>
      </c>
      <c r="B43">
        <v>10838</v>
      </c>
    </row>
    <row r="44" spans="1:10" x14ac:dyDescent="0.3">
      <c r="A44" t="s">
        <v>144</v>
      </c>
      <c r="B44">
        <v>12899</v>
      </c>
    </row>
    <row r="45" spans="1:10" x14ac:dyDescent="0.3">
      <c r="A45" t="s">
        <v>177</v>
      </c>
      <c r="B45">
        <v>12887</v>
      </c>
    </row>
    <row r="46" spans="1:10" x14ac:dyDescent="0.3">
      <c r="A46" t="s">
        <v>184</v>
      </c>
      <c r="B46">
        <v>12883</v>
      </c>
    </row>
    <row r="47" spans="1:10" x14ac:dyDescent="0.3">
      <c r="A47" t="s">
        <v>203</v>
      </c>
      <c r="B47" t="s">
        <v>204</v>
      </c>
    </row>
    <row r="48" spans="1:10" x14ac:dyDescent="0.3">
      <c r="A48" t="s">
        <v>209</v>
      </c>
      <c r="B48">
        <v>13430</v>
      </c>
    </row>
  </sheetData>
  <customSheetViews>
    <customSheetView guid="{126BE109-959B-480F-842E-7874A8088742}" showPageBreaks="1" fitToPage="1">
      <selection activeCell="B3" sqref="B3"/>
      <pageMargins left="0.7" right="0.7" top="0.75" bottom="0.75" header="0.3" footer="0.3"/>
      <pageSetup scale="49" orientation="portrait" horizontalDpi="1200" verticalDpi="1200" r:id="rId1"/>
    </customSheetView>
    <customSheetView guid="{0B0B99EA-567A-4367-98D1-8FEBFA28A824}" fitToPage="1" topLeftCell="A34">
      <selection activeCell="A60" sqref="A60"/>
      <pageMargins left="0.7" right="0.7" top="0.75" bottom="0.75" header="0.3" footer="0.3"/>
      <pageSetup scale="49" orientation="portrait" horizontalDpi="1200" verticalDpi="1200" r:id="rId2"/>
    </customSheetView>
  </customSheetViews>
  <pageMargins left="0.25" right="0.25" top="0.75" bottom="0.75" header="0.3" footer="0.3"/>
  <pageSetup scale="99" orientation="portrait" horizontalDpi="1200" verticalDpi="1200" r:id="rId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F00-000000000000}">
  <sheetPr>
    <tabColor theme="8" tint="0.79998168889431442"/>
    <pageSetUpPr fitToPage="1"/>
  </sheetPr>
  <dimension ref="B2:F31"/>
  <sheetViews>
    <sheetView workbookViewId="0">
      <selection activeCell="D10" sqref="D10"/>
    </sheetView>
  </sheetViews>
  <sheetFormatPr defaultRowHeight="14.4" x14ac:dyDescent="0.3"/>
  <cols>
    <col min="2" max="2" width="23.33203125" customWidth="1"/>
    <col min="3" max="3" width="11.33203125" customWidth="1"/>
    <col min="4" max="4" width="40" customWidth="1"/>
    <col min="5" max="5" width="12.6640625" customWidth="1"/>
    <col min="6" max="6" width="11.6640625" customWidth="1"/>
    <col min="7" max="7" width="11.5546875" customWidth="1"/>
    <col min="8" max="8" width="12.33203125" customWidth="1"/>
    <col min="9" max="9" width="17.33203125" customWidth="1"/>
    <col min="10" max="10" width="9" customWidth="1"/>
    <col min="11" max="12" width="11.33203125" customWidth="1"/>
    <col min="13" max="13" width="7.33203125" customWidth="1"/>
    <col min="14" max="14" width="9.5546875" customWidth="1"/>
    <col min="15" max="15" width="5" customWidth="1"/>
    <col min="16" max="16" width="9.44140625" customWidth="1"/>
    <col min="17" max="17" width="7.33203125" customWidth="1"/>
    <col min="18" max="18" width="4.33203125" customWidth="1"/>
    <col min="19" max="19" width="6.5546875" customWidth="1"/>
    <col min="20" max="20" width="2.6640625" customWidth="1"/>
    <col min="21" max="21" width="3.33203125" customWidth="1"/>
  </cols>
  <sheetData>
    <row r="2" spans="2:6" ht="15.6" x14ac:dyDescent="0.3">
      <c r="B2" s="1" t="s">
        <v>0</v>
      </c>
    </row>
    <row r="3" spans="2:6" ht="15.6" x14ac:dyDescent="0.3">
      <c r="B3" s="1"/>
    </row>
    <row r="4" spans="2:6" ht="15.6" x14ac:dyDescent="0.3">
      <c r="B4" s="3" t="s">
        <v>22</v>
      </c>
    </row>
    <row r="5" spans="2:6" ht="15.6" x14ac:dyDescent="0.3">
      <c r="B5" s="3" t="str">
        <f>"Reporting Date:  " &amp;('Data Entry'!$B$2)</f>
        <v>Reporting Date:  3/1/2026-3/31/2026</v>
      </c>
      <c r="C5" s="3"/>
    </row>
    <row r="6" spans="2:6" ht="15.6" x14ac:dyDescent="0.3">
      <c r="B6" s="3"/>
    </row>
    <row r="8" spans="2:6" ht="15.6" x14ac:dyDescent="0.3">
      <c r="B8" s="4" t="s">
        <v>1</v>
      </c>
      <c r="D8" s="6"/>
      <c r="F8" s="6"/>
    </row>
    <row r="9" spans="2:6" ht="9.75" customHeight="1" x14ac:dyDescent="0.3">
      <c r="B9" s="4"/>
    </row>
    <row r="10" spans="2:6" ht="15.6" x14ac:dyDescent="0.3">
      <c r="B10" s="10" t="s">
        <v>2</v>
      </c>
      <c r="C10" s="2"/>
      <c r="D10" s="7">
        <f>'Data Entry'!$B$3</f>
        <v>46124</v>
      </c>
    </row>
    <row r="11" spans="2:6" ht="15.6" x14ac:dyDescent="0.3">
      <c r="B11" s="8" t="s">
        <v>3</v>
      </c>
      <c r="C11" s="5"/>
      <c r="D11" s="31" t="s">
        <v>23</v>
      </c>
      <c r="E11" s="31"/>
    </row>
    <row r="12" spans="2:6" ht="15.6" x14ac:dyDescent="0.3">
      <c r="B12" s="8" t="s">
        <v>4</v>
      </c>
      <c r="C12" s="5"/>
      <c r="D12" s="5" t="s">
        <v>24</v>
      </c>
    </row>
    <row r="13" spans="2:6" ht="128.25" customHeight="1" x14ac:dyDescent="0.3">
      <c r="B13" s="8" t="s">
        <v>5</v>
      </c>
      <c r="C13" s="5"/>
      <c r="D13" s="32" t="s">
        <v>25</v>
      </c>
      <c r="E13" s="32"/>
    </row>
    <row r="14" spans="2:6" ht="51.75" customHeight="1" x14ac:dyDescent="0.3">
      <c r="B14" s="9" t="s">
        <v>12</v>
      </c>
      <c r="C14" s="8"/>
      <c r="D14" s="32" t="s">
        <v>26</v>
      </c>
      <c r="E14" s="32"/>
    </row>
    <row r="15" spans="2:6" ht="15.6" x14ac:dyDescent="0.3">
      <c r="B15" s="8" t="s">
        <v>6</v>
      </c>
      <c r="C15" s="8"/>
      <c r="D15" s="8" t="s">
        <v>151</v>
      </c>
      <c r="E15" s="17"/>
    </row>
    <row r="16" spans="2:6" ht="15.6" x14ac:dyDescent="0.3">
      <c r="B16" s="8" t="s">
        <v>7</v>
      </c>
      <c r="C16" s="8"/>
      <c r="D16" s="8" t="s">
        <v>8</v>
      </c>
      <c r="E16" s="17"/>
    </row>
    <row r="17" spans="2:5" ht="15.6" x14ac:dyDescent="0.3">
      <c r="B17" s="5"/>
      <c r="C17" s="5"/>
      <c r="D17" s="5"/>
    </row>
    <row r="18" spans="2:5" ht="38.25" customHeight="1" x14ac:dyDescent="0.3">
      <c r="B18" s="2"/>
      <c r="C18" s="2"/>
      <c r="D18" s="2"/>
    </row>
    <row r="19" spans="2:5" ht="66" customHeight="1" x14ac:dyDescent="0.3">
      <c r="B19" s="32" t="s">
        <v>153</v>
      </c>
      <c r="C19" s="32"/>
      <c r="D19" s="32"/>
      <c r="E19" s="32"/>
    </row>
    <row r="22" spans="2:5" x14ac:dyDescent="0.3">
      <c r="B22" s="12" t="s">
        <v>9</v>
      </c>
    </row>
    <row r="23" spans="2:5" ht="25.5" customHeight="1" x14ac:dyDescent="0.3">
      <c r="B23" s="33" t="s">
        <v>10</v>
      </c>
      <c r="C23" s="33"/>
      <c r="D23" s="33"/>
      <c r="E23" s="33"/>
    </row>
    <row r="27" spans="2:5" x14ac:dyDescent="0.3">
      <c r="B27" s="13" t="str">
        <f>"Date: " &amp; " " &amp;TEXT('Data Entry'!$B$5, "MMMM DD, YYY")</f>
        <v>Date:  April 12, 2026</v>
      </c>
      <c r="C27" s="14"/>
      <c r="D27" s="11" t="s">
        <v>11</v>
      </c>
    </row>
    <row r="28" spans="2:5" x14ac:dyDescent="0.3">
      <c r="B28" s="11"/>
      <c r="C28" s="11"/>
      <c r="D28" s="11"/>
    </row>
    <row r="29" spans="2:5" x14ac:dyDescent="0.3">
      <c r="B29" s="11"/>
      <c r="C29" s="11"/>
      <c r="D29" s="15"/>
    </row>
    <row r="30" spans="2:5" x14ac:dyDescent="0.3">
      <c r="B30" s="11"/>
      <c r="C30" s="11"/>
      <c r="D30" s="16" t="str">
        <f>'Data Entry'!$B$7</f>
        <v>Michael Heagerty</v>
      </c>
    </row>
    <row r="31" spans="2:5" x14ac:dyDescent="0.3">
      <c r="B31" s="11"/>
      <c r="C31" s="11"/>
      <c r="D31" s="11" t="str">
        <f>'Data Entry'!$B$8</f>
        <v>Principal</v>
      </c>
    </row>
  </sheetData>
  <customSheetViews>
    <customSheetView guid="{126BE109-959B-480F-842E-7874A8088742}" showPageBreaks="1" fitToPage="1" topLeftCell="A16">
      <selection activeCell="D27" sqref="D27"/>
      <pageMargins left="0.25" right="0.25" top="0.75" bottom="0.75" header="0.3" footer="0.3"/>
      <pageSetup orientation="portrait" r:id="rId1"/>
    </customSheetView>
    <customSheetView guid="{0B0B99EA-567A-4367-98D1-8FEBFA28A824}" fitToPage="1" topLeftCell="A16">
      <selection activeCell="D27" sqref="D27"/>
      <pageMargins left="0.25" right="0.25" top="0.75" bottom="0.75" header="0.3" footer="0.3"/>
      <pageSetup orientation="portrait" r:id="rId2"/>
    </customSheetView>
  </customSheetViews>
  <mergeCells count="5">
    <mergeCell ref="D11:E11"/>
    <mergeCell ref="D13:E13"/>
    <mergeCell ref="D14:E14"/>
    <mergeCell ref="B19:E19"/>
    <mergeCell ref="B23:E23"/>
  </mergeCells>
  <pageMargins left="0.25" right="0.25" top="0.75" bottom="0.75" header="0.3" footer="0.3"/>
  <pageSetup scale="98" orientation="portrait" horizontalDpi="1200" verticalDpi="1200" r:id="rId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98351F1-803F-431D-98F1-FD322C3FBED5}">
  <sheetPr>
    <tabColor theme="8" tint="0.79998168889431442"/>
    <pageSetUpPr fitToPage="1"/>
  </sheetPr>
  <dimension ref="B2:F31"/>
  <sheetViews>
    <sheetView workbookViewId="0">
      <selection activeCell="D10" sqref="D10"/>
    </sheetView>
  </sheetViews>
  <sheetFormatPr defaultRowHeight="14.4" x14ac:dyDescent="0.3"/>
  <cols>
    <col min="1" max="1" width="5.6640625" customWidth="1"/>
    <col min="2" max="2" width="23.33203125" customWidth="1"/>
    <col min="3" max="3" width="11.33203125" customWidth="1"/>
    <col min="4" max="4" width="46.33203125" customWidth="1"/>
    <col min="5" max="5" width="12.6640625" hidden="1" customWidth="1"/>
    <col min="6" max="6" width="11.6640625" customWidth="1"/>
    <col min="7" max="7" width="11.5546875" customWidth="1"/>
    <col min="8" max="8" width="12.33203125" customWidth="1"/>
    <col min="9" max="9" width="17.33203125" customWidth="1"/>
    <col min="10" max="10" width="9" customWidth="1"/>
    <col min="11" max="12" width="11.33203125" customWidth="1"/>
    <col min="13" max="13" width="7.33203125" customWidth="1"/>
    <col min="14" max="14" width="9.5546875" customWidth="1"/>
    <col min="15" max="15" width="5" customWidth="1"/>
    <col min="16" max="16" width="9.44140625" customWidth="1"/>
    <col min="17" max="17" width="7.33203125" customWidth="1"/>
    <col min="18" max="18" width="4.33203125" customWidth="1"/>
    <col min="19" max="19" width="6.5546875" customWidth="1"/>
    <col min="20" max="20" width="2.6640625" customWidth="1"/>
    <col min="21" max="21" width="3.33203125" customWidth="1"/>
  </cols>
  <sheetData>
    <row r="2" spans="2:6" ht="15.6" x14ac:dyDescent="0.3">
      <c r="B2" s="1" t="s">
        <v>0</v>
      </c>
    </row>
    <row r="3" spans="2:6" ht="15.6" x14ac:dyDescent="0.3">
      <c r="B3" s="1"/>
    </row>
    <row r="4" spans="2:6" ht="15.6" x14ac:dyDescent="0.3">
      <c r="B4" s="3" t="s">
        <v>67</v>
      </c>
    </row>
    <row r="5" spans="2:6" ht="15.6" x14ac:dyDescent="0.3">
      <c r="B5" s="3" t="str">
        <f>"Reporting Date:  " &amp;('Data Entry'!$B$2)</f>
        <v>Reporting Date:  3/1/2026-3/31/2026</v>
      </c>
      <c r="C5" s="3"/>
    </row>
    <row r="6" spans="2:6" ht="15.6" x14ac:dyDescent="0.3">
      <c r="B6" s="3"/>
    </row>
    <row r="8" spans="2:6" ht="15.6" x14ac:dyDescent="0.3">
      <c r="B8" s="4" t="s">
        <v>1</v>
      </c>
      <c r="D8" s="6"/>
      <c r="F8" s="6"/>
    </row>
    <row r="9" spans="2:6" ht="9.75" customHeight="1" x14ac:dyDescent="0.3">
      <c r="B9" s="4"/>
    </row>
    <row r="10" spans="2:6" ht="15.6" x14ac:dyDescent="0.3">
      <c r="B10" s="10" t="s">
        <v>2</v>
      </c>
      <c r="C10" s="2"/>
      <c r="D10" s="7">
        <f>'Data Entry'!$B$3</f>
        <v>46124</v>
      </c>
    </row>
    <row r="11" spans="2:6" ht="15.6" x14ac:dyDescent="0.3">
      <c r="B11" s="8" t="s">
        <v>3</v>
      </c>
      <c r="C11" s="5"/>
      <c r="D11" s="31" t="s">
        <v>21</v>
      </c>
      <c r="E11" s="31"/>
    </row>
    <row r="12" spans="2:6" ht="15.6" x14ac:dyDescent="0.3">
      <c r="B12" s="8" t="s">
        <v>4</v>
      </c>
      <c r="C12" s="5"/>
      <c r="D12" s="5" t="s">
        <v>68</v>
      </c>
    </row>
    <row r="13" spans="2:6" ht="128.25" customHeight="1" x14ac:dyDescent="0.3">
      <c r="B13" s="8" t="s">
        <v>5</v>
      </c>
      <c r="C13" s="5"/>
      <c r="D13" s="32" t="s">
        <v>69</v>
      </c>
      <c r="E13" s="32"/>
    </row>
    <row r="14" spans="2:6" ht="51.75" customHeight="1" x14ac:dyDescent="0.3">
      <c r="B14" s="9" t="s">
        <v>12</v>
      </c>
      <c r="C14" s="8"/>
      <c r="D14" s="32" t="s">
        <v>70</v>
      </c>
      <c r="E14" s="32"/>
    </row>
    <row r="15" spans="2:6" ht="15.6" x14ac:dyDescent="0.3">
      <c r="B15" s="8" t="s">
        <v>6</v>
      </c>
      <c r="C15" s="8"/>
      <c r="D15" s="8" t="s">
        <v>151</v>
      </c>
      <c r="E15" s="17"/>
    </row>
    <row r="16" spans="2:6" ht="15.6" x14ac:dyDescent="0.3">
      <c r="B16" s="8" t="s">
        <v>7</v>
      </c>
      <c r="C16" s="8"/>
      <c r="D16" s="8" t="s">
        <v>8</v>
      </c>
      <c r="E16" s="17"/>
    </row>
    <row r="17" spans="2:5" ht="15.6" x14ac:dyDescent="0.3">
      <c r="B17" s="5"/>
      <c r="C17" s="5"/>
      <c r="D17" s="5"/>
    </row>
    <row r="18" spans="2:5" ht="38.25" customHeight="1" x14ac:dyDescent="0.3">
      <c r="B18" s="2"/>
      <c r="C18" s="2"/>
      <c r="D18" s="2"/>
    </row>
    <row r="19" spans="2:5" ht="79.5" customHeight="1" x14ac:dyDescent="0.3">
      <c r="B19" s="32" t="s">
        <v>164</v>
      </c>
      <c r="C19" s="32"/>
      <c r="D19" s="32"/>
      <c r="E19" s="32"/>
    </row>
    <row r="22" spans="2:5" x14ac:dyDescent="0.3">
      <c r="B22" s="12" t="s">
        <v>9</v>
      </c>
    </row>
    <row r="23" spans="2:5" ht="25.5" customHeight="1" x14ac:dyDescent="0.3">
      <c r="B23" s="33" t="s">
        <v>10</v>
      </c>
      <c r="C23" s="33"/>
      <c r="D23" s="33"/>
      <c r="E23" s="33"/>
    </row>
    <row r="27" spans="2:5" x14ac:dyDescent="0.3">
      <c r="B27" s="13" t="str">
        <f>"Date: " &amp; " " &amp;TEXT('Data Entry'!$B$5, "MMMM DD, YYY")</f>
        <v>Date:  April 12, 2026</v>
      </c>
      <c r="C27" s="14"/>
      <c r="D27" s="11" t="s">
        <v>11</v>
      </c>
    </row>
    <row r="28" spans="2:5" x14ac:dyDescent="0.3">
      <c r="B28" s="11"/>
      <c r="C28" s="11"/>
      <c r="D28" s="11"/>
    </row>
    <row r="29" spans="2:5" x14ac:dyDescent="0.3">
      <c r="B29" s="11"/>
      <c r="C29" s="11"/>
      <c r="D29" s="15"/>
    </row>
    <row r="30" spans="2:5" x14ac:dyDescent="0.3">
      <c r="B30" s="11"/>
      <c r="C30" s="11"/>
      <c r="D30" s="16" t="str">
        <f>'Data Entry'!$B$7</f>
        <v>Michael Heagerty</v>
      </c>
    </row>
    <row r="31" spans="2:5" x14ac:dyDescent="0.3">
      <c r="B31" s="11"/>
      <c r="C31" s="11"/>
      <c r="D31" s="11" t="str">
        <f>'Data Entry'!$B$8</f>
        <v>Principal</v>
      </c>
    </row>
  </sheetData>
  <customSheetViews>
    <customSheetView guid="{126BE109-959B-480F-842E-7874A8088742}" showPageBreaks="1" fitToPage="1" hiddenColumns="1" topLeftCell="A19">
      <selection activeCell="D27" sqref="D27"/>
      <pageMargins left="0.25" right="0.25" top="0.75" bottom="0.75" header="0.3" footer="0.3"/>
      <pageSetup orientation="portrait" horizontalDpi="1200" verticalDpi="1200" r:id="rId1"/>
    </customSheetView>
    <customSheetView guid="{0B0B99EA-567A-4367-98D1-8FEBFA28A824}" fitToPage="1" hiddenColumns="1" topLeftCell="A19">
      <selection activeCell="D27" sqref="D27"/>
      <pageMargins left="0.25" right="0.25" top="0.75" bottom="0.75" header="0.3" footer="0.3"/>
      <pageSetup orientation="portrait" horizontalDpi="1200" verticalDpi="1200" r:id="rId2"/>
    </customSheetView>
  </customSheetViews>
  <mergeCells count="5">
    <mergeCell ref="D11:E11"/>
    <mergeCell ref="D13:E13"/>
    <mergeCell ref="D14:E14"/>
    <mergeCell ref="B19:E19"/>
    <mergeCell ref="B23:E23"/>
  </mergeCells>
  <pageMargins left="0.25" right="0.25" top="0.75" bottom="0.75" header="0.3" footer="0.3"/>
  <pageSetup scale="99" orientation="portrait" horizontalDpi="1200" verticalDpi="1200" r:id="rId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07B3125-0DD5-4792-9B40-585DCE4AD980}">
  <sheetPr>
    <tabColor theme="8" tint="0.79998168889431442"/>
    <pageSetUpPr fitToPage="1"/>
  </sheetPr>
  <dimension ref="B2:F31"/>
  <sheetViews>
    <sheetView workbookViewId="0">
      <selection activeCell="G19" sqref="G19"/>
    </sheetView>
  </sheetViews>
  <sheetFormatPr defaultRowHeight="14.4" x14ac:dyDescent="0.3"/>
  <cols>
    <col min="1" max="1" width="5.6640625" customWidth="1"/>
    <col min="2" max="2" width="23.33203125" customWidth="1"/>
    <col min="3" max="3" width="11.33203125" customWidth="1"/>
    <col min="4" max="4" width="46.33203125" customWidth="1"/>
    <col min="5" max="5" width="12.6640625" hidden="1" customWidth="1"/>
    <col min="6" max="6" width="11.6640625" customWidth="1"/>
    <col min="7" max="7" width="11.5546875" customWidth="1"/>
    <col min="8" max="8" width="12.33203125" customWidth="1"/>
    <col min="9" max="9" width="17.33203125" customWidth="1"/>
    <col min="10" max="10" width="9" customWidth="1"/>
    <col min="11" max="12" width="11.33203125" customWidth="1"/>
    <col min="13" max="13" width="7.33203125" customWidth="1"/>
    <col min="14" max="14" width="9.5546875" customWidth="1"/>
    <col min="15" max="15" width="5" customWidth="1"/>
    <col min="16" max="16" width="9.44140625" customWidth="1"/>
    <col min="17" max="17" width="7.33203125" customWidth="1"/>
    <col min="18" max="18" width="4.33203125" customWidth="1"/>
    <col min="19" max="19" width="6.5546875" customWidth="1"/>
    <col min="20" max="20" width="2.6640625" customWidth="1"/>
    <col min="21" max="21" width="3.33203125" customWidth="1"/>
  </cols>
  <sheetData>
    <row r="2" spans="2:6" ht="15.6" x14ac:dyDescent="0.3">
      <c r="B2" s="1" t="s">
        <v>0</v>
      </c>
    </row>
    <row r="3" spans="2:6" ht="15.6" x14ac:dyDescent="0.3">
      <c r="B3" s="1"/>
    </row>
    <row r="4" spans="2:6" ht="15.6" x14ac:dyDescent="0.3">
      <c r="B4" s="3" t="s">
        <v>74</v>
      </c>
    </row>
    <row r="5" spans="2:6" ht="15.6" x14ac:dyDescent="0.3">
      <c r="B5" s="3" t="str">
        <f>"Reporting Date:  " &amp;('Data Entry'!$B$2)</f>
        <v>Reporting Date:  3/1/2026-3/31/2026</v>
      </c>
      <c r="C5" s="3"/>
    </row>
    <row r="6" spans="2:6" ht="15.6" x14ac:dyDescent="0.3">
      <c r="B6" s="3"/>
    </row>
    <row r="8" spans="2:6" ht="15.6" x14ac:dyDescent="0.3">
      <c r="B8" s="4" t="s">
        <v>1</v>
      </c>
      <c r="D8" s="6"/>
      <c r="F8" s="6"/>
    </row>
    <row r="9" spans="2:6" ht="9.75" customHeight="1" x14ac:dyDescent="0.3">
      <c r="B9" s="4"/>
    </row>
    <row r="10" spans="2:6" ht="15.6" x14ac:dyDescent="0.3">
      <c r="B10" s="10" t="s">
        <v>2</v>
      </c>
      <c r="C10" s="2"/>
      <c r="D10" s="7">
        <f>'Data Entry'!$B$3</f>
        <v>46124</v>
      </c>
    </row>
    <row r="11" spans="2:6" ht="15.6" x14ac:dyDescent="0.3">
      <c r="B11" s="8" t="s">
        <v>3</v>
      </c>
      <c r="C11" s="5"/>
      <c r="D11" s="31" t="s">
        <v>21</v>
      </c>
      <c r="E11" s="31"/>
    </row>
    <row r="12" spans="2:6" ht="15.6" x14ac:dyDescent="0.3">
      <c r="B12" s="8" t="s">
        <v>4</v>
      </c>
      <c r="C12" s="5"/>
      <c r="D12" s="5" t="s">
        <v>75</v>
      </c>
    </row>
    <row r="13" spans="2:6" ht="128.25" customHeight="1" x14ac:dyDescent="0.3">
      <c r="B13" s="8" t="s">
        <v>5</v>
      </c>
      <c r="C13" s="5"/>
      <c r="D13" s="32" t="s">
        <v>76</v>
      </c>
      <c r="E13" s="32"/>
    </row>
    <row r="14" spans="2:6" ht="51.75" customHeight="1" x14ac:dyDescent="0.3">
      <c r="B14" s="9" t="s">
        <v>12</v>
      </c>
      <c r="C14" s="8"/>
      <c r="D14" s="32" t="s">
        <v>77</v>
      </c>
      <c r="E14" s="32"/>
    </row>
    <row r="15" spans="2:6" ht="15.6" x14ac:dyDescent="0.3">
      <c r="B15" s="8" t="s">
        <v>6</v>
      </c>
      <c r="C15" s="8"/>
      <c r="D15" s="8" t="s">
        <v>151</v>
      </c>
      <c r="E15" s="17"/>
    </row>
    <row r="16" spans="2:6" ht="15.6" x14ac:dyDescent="0.3">
      <c r="B16" s="8" t="s">
        <v>7</v>
      </c>
      <c r="C16" s="8"/>
      <c r="D16" s="8" t="s">
        <v>8</v>
      </c>
      <c r="E16" s="17"/>
    </row>
    <row r="17" spans="2:5" ht="15.6" x14ac:dyDescent="0.3">
      <c r="B17" s="5"/>
      <c r="C17" s="5"/>
      <c r="D17" s="5"/>
    </row>
    <row r="18" spans="2:5" ht="28.2" customHeight="1" x14ac:dyDescent="0.3">
      <c r="B18" s="2"/>
      <c r="C18" s="2"/>
      <c r="D18" s="2"/>
    </row>
    <row r="19" spans="2:5" ht="82.5" customHeight="1" x14ac:dyDescent="0.3">
      <c r="B19" s="32" t="s">
        <v>166</v>
      </c>
      <c r="C19" s="32"/>
      <c r="D19" s="32"/>
      <c r="E19" s="32"/>
    </row>
    <row r="22" spans="2:5" x14ac:dyDescent="0.3">
      <c r="B22" s="12" t="s">
        <v>9</v>
      </c>
    </row>
    <row r="23" spans="2:5" ht="25.5" customHeight="1" x14ac:dyDescent="0.3">
      <c r="B23" s="33" t="s">
        <v>10</v>
      </c>
      <c r="C23" s="33"/>
      <c r="D23" s="33"/>
      <c r="E23" s="33"/>
    </row>
    <row r="27" spans="2:5" x14ac:dyDescent="0.3">
      <c r="B27" s="13" t="str">
        <f>"Date: " &amp; " " &amp;TEXT('Data Entry'!$B$5, "MMMM DD, YYY")</f>
        <v>Date:  April 12, 2026</v>
      </c>
      <c r="C27" s="14"/>
      <c r="D27" s="11" t="s">
        <v>11</v>
      </c>
    </row>
    <row r="28" spans="2:5" x14ac:dyDescent="0.3">
      <c r="B28" s="11"/>
      <c r="C28" s="11"/>
      <c r="D28" s="11"/>
    </row>
    <row r="29" spans="2:5" x14ac:dyDescent="0.3">
      <c r="B29" s="11"/>
      <c r="C29" s="11"/>
      <c r="D29" s="15"/>
    </row>
    <row r="30" spans="2:5" x14ac:dyDescent="0.3">
      <c r="B30" s="11"/>
      <c r="C30" s="11"/>
      <c r="D30" s="16" t="str">
        <f>'Data Entry'!$B$7</f>
        <v>Michael Heagerty</v>
      </c>
    </row>
    <row r="31" spans="2:5" x14ac:dyDescent="0.3">
      <c r="B31" s="11"/>
      <c r="C31" s="11"/>
      <c r="D31" s="11" t="str">
        <f>'Data Entry'!$B$8</f>
        <v>Principal</v>
      </c>
    </row>
  </sheetData>
  <customSheetViews>
    <customSheetView guid="{126BE109-959B-480F-842E-7874A8088742}" showPageBreaks="1" fitToPage="1" hiddenColumns="1" topLeftCell="A16">
      <selection activeCell="D27" sqref="D27"/>
      <pageMargins left="0.25" right="0.25" top="0.75" bottom="0.75" header="0.3" footer="0.3"/>
      <pageSetup orientation="portrait" horizontalDpi="1200" verticalDpi="1200" r:id="rId1"/>
    </customSheetView>
    <customSheetView guid="{0B0B99EA-567A-4367-98D1-8FEBFA28A824}" fitToPage="1" hiddenColumns="1" topLeftCell="A16">
      <selection activeCell="D27" sqref="D27"/>
      <pageMargins left="0.25" right="0.25" top="0.75" bottom="0.75" header="0.3" footer="0.3"/>
      <pageSetup orientation="portrait" horizontalDpi="1200" verticalDpi="1200" r:id="rId2"/>
    </customSheetView>
  </customSheetViews>
  <mergeCells count="5">
    <mergeCell ref="D11:E11"/>
    <mergeCell ref="D13:E13"/>
    <mergeCell ref="D14:E14"/>
    <mergeCell ref="B19:E19"/>
    <mergeCell ref="B23:E23"/>
  </mergeCells>
  <pageMargins left="0.25" right="0.25" top="0.75" bottom="0.75" header="0.3" footer="0.3"/>
  <pageSetup orientation="portrait" horizontalDpi="1200" verticalDpi="1200" r:id="rId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200-000000000000}">
  <sheetPr>
    <tabColor theme="8" tint="0.79998168889431442"/>
    <pageSetUpPr fitToPage="1"/>
  </sheetPr>
  <dimension ref="B2:F31"/>
  <sheetViews>
    <sheetView workbookViewId="0">
      <selection activeCell="G19" sqref="G19"/>
    </sheetView>
  </sheetViews>
  <sheetFormatPr defaultRowHeight="14.4" x14ac:dyDescent="0.3"/>
  <cols>
    <col min="2" max="2" width="23.33203125" customWidth="1"/>
    <col min="3" max="3" width="11.33203125" customWidth="1"/>
    <col min="4" max="4" width="40" customWidth="1"/>
    <col min="5" max="5" width="12.6640625" customWidth="1"/>
    <col min="6" max="6" width="11.6640625" customWidth="1"/>
    <col min="7" max="7" width="11.5546875" customWidth="1"/>
    <col min="8" max="8" width="12.33203125" customWidth="1"/>
    <col min="9" max="9" width="17.33203125" customWidth="1"/>
    <col min="10" max="10" width="9" customWidth="1"/>
    <col min="11" max="12" width="11.33203125" customWidth="1"/>
    <col min="13" max="13" width="7.33203125" customWidth="1"/>
    <col min="14" max="14" width="9.5546875" customWidth="1"/>
    <col min="15" max="15" width="5" customWidth="1"/>
    <col min="16" max="16" width="9.44140625" customWidth="1"/>
    <col min="17" max="17" width="7.33203125" customWidth="1"/>
    <col min="18" max="18" width="4.33203125" customWidth="1"/>
    <col min="19" max="19" width="6.5546875" customWidth="1"/>
    <col min="20" max="20" width="2.6640625" customWidth="1"/>
    <col min="21" max="21" width="3.33203125" customWidth="1"/>
  </cols>
  <sheetData>
    <row r="2" spans="2:6" ht="15.6" x14ac:dyDescent="0.3">
      <c r="B2" s="1" t="s">
        <v>0</v>
      </c>
    </row>
    <row r="3" spans="2:6" ht="15.6" x14ac:dyDescent="0.3">
      <c r="B3" s="1"/>
    </row>
    <row r="4" spans="2:6" ht="15.6" x14ac:dyDescent="0.3">
      <c r="B4" s="3" t="s">
        <v>30</v>
      </c>
    </row>
    <row r="5" spans="2:6" ht="15.6" x14ac:dyDescent="0.3">
      <c r="B5" s="3" t="str">
        <f>"Reporting Date:  " &amp;('Data Entry'!$B$2)</f>
        <v>Reporting Date:  3/1/2026-3/31/2026</v>
      </c>
      <c r="C5" s="3"/>
    </row>
    <row r="6" spans="2:6" ht="15.6" x14ac:dyDescent="0.3">
      <c r="B6" s="3"/>
    </row>
    <row r="8" spans="2:6" ht="15.6" x14ac:dyDescent="0.3">
      <c r="B8" s="4" t="s">
        <v>1</v>
      </c>
      <c r="D8" s="6"/>
      <c r="F8" s="6"/>
    </row>
    <row r="9" spans="2:6" ht="9.75" customHeight="1" x14ac:dyDescent="0.3">
      <c r="B9" s="4"/>
    </row>
    <row r="10" spans="2:6" ht="15.6" x14ac:dyDescent="0.3">
      <c r="B10" s="10" t="s">
        <v>2</v>
      </c>
      <c r="C10" s="2"/>
      <c r="D10" s="7">
        <f>'Data Entry'!$B$3</f>
        <v>46124</v>
      </c>
    </row>
    <row r="11" spans="2:6" ht="15.6" x14ac:dyDescent="0.3">
      <c r="B11" s="8" t="s">
        <v>3</v>
      </c>
      <c r="C11" s="5"/>
      <c r="D11" s="31" t="s">
        <v>31</v>
      </c>
      <c r="E11" s="31"/>
    </row>
    <row r="12" spans="2:6" ht="15.6" x14ac:dyDescent="0.3">
      <c r="B12" s="8" t="s">
        <v>4</v>
      </c>
      <c r="C12" s="5"/>
      <c r="D12" s="5" t="s">
        <v>32</v>
      </c>
    </row>
    <row r="13" spans="2:6" ht="116.25" customHeight="1" x14ac:dyDescent="0.3">
      <c r="B13" s="8" t="s">
        <v>5</v>
      </c>
      <c r="C13" s="5"/>
      <c r="D13" s="32" t="s">
        <v>33</v>
      </c>
      <c r="E13" s="32"/>
    </row>
    <row r="14" spans="2:6" ht="51.75" customHeight="1" x14ac:dyDescent="0.3">
      <c r="B14" s="9" t="s">
        <v>12</v>
      </c>
      <c r="C14" s="8"/>
      <c r="D14" s="32" t="s">
        <v>34</v>
      </c>
      <c r="E14" s="32"/>
    </row>
    <row r="15" spans="2:6" ht="15.6" x14ac:dyDescent="0.3">
      <c r="B15" s="8" t="s">
        <v>6</v>
      </c>
      <c r="C15" s="8"/>
      <c r="D15" s="8" t="s">
        <v>151</v>
      </c>
      <c r="E15" s="17"/>
    </row>
    <row r="16" spans="2:6" ht="15.6" x14ac:dyDescent="0.3">
      <c r="B16" s="8" t="s">
        <v>7</v>
      </c>
      <c r="C16" s="8"/>
      <c r="D16" s="8" t="s">
        <v>8</v>
      </c>
      <c r="E16" s="17"/>
    </row>
    <row r="17" spans="2:5" ht="15.6" x14ac:dyDescent="0.3">
      <c r="B17" s="5"/>
      <c r="C17" s="5"/>
      <c r="D17" s="5"/>
    </row>
    <row r="18" spans="2:5" ht="47.25" customHeight="1" x14ac:dyDescent="0.3">
      <c r="B18" s="2"/>
      <c r="C18" s="2"/>
      <c r="D18" s="2"/>
    </row>
    <row r="19" spans="2:5" ht="66" customHeight="1" x14ac:dyDescent="0.3">
      <c r="B19" s="32" t="s">
        <v>155</v>
      </c>
      <c r="C19" s="32"/>
      <c r="D19" s="32"/>
      <c r="E19" s="32"/>
    </row>
    <row r="22" spans="2:5" x14ac:dyDescent="0.3">
      <c r="B22" s="12" t="s">
        <v>9</v>
      </c>
    </row>
    <row r="23" spans="2:5" ht="25.5" customHeight="1" x14ac:dyDescent="0.3">
      <c r="B23" s="33" t="s">
        <v>10</v>
      </c>
      <c r="C23" s="33"/>
      <c r="D23" s="33"/>
      <c r="E23" s="33"/>
    </row>
    <row r="27" spans="2:5" x14ac:dyDescent="0.3">
      <c r="B27" s="13" t="str">
        <f>"Date: " &amp; " " &amp;TEXT('Data Entry'!$B$5, "MMMM DD, YYY")</f>
        <v>Date:  April 12, 2026</v>
      </c>
      <c r="C27" s="14"/>
      <c r="D27" s="11" t="s">
        <v>11</v>
      </c>
    </row>
    <row r="28" spans="2:5" x14ac:dyDescent="0.3">
      <c r="B28" s="11"/>
      <c r="C28" s="11"/>
      <c r="D28" s="11"/>
    </row>
    <row r="29" spans="2:5" x14ac:dyDescent="0.3">
      <c r="B29" s="11"/>
      <c r="C29" s="11"/>
      <c r="D29" s="15"/>
    </row>
    <row r="30" spans="2:5" x14ac:dyDescent="0.3">
      <c r="B30" s="11"/>
      <c r="C30" s="11"/>
      <c r="D30" s="16" t="str">
        <f>'Data Entry'!$B$7</f>
        <v>Michael Heagerty</v>
      </c>
    </row>
    <row r="31" spans="2:5" x14ac:dyDescent="0.3">
      <c r="B31" s="11"/>
      <c r="C31" s="11"/>
      <c r="D31" s="11" t="str">
        <f>'Data Entry'!$B$8</f>
        <v>Principal</v>
      </c>
    </row>
  </sheetData>
  <customSheetViews>
    <customSheetView guid="{126BE109-959B-480F-842E-7874A8088742}" showPageBreaks="1" fitToPage="1" topLeftCell="A16">
      <selection activeCell="D27" sqref="D27"/>
      <pageMargins left="0.25" right="0.25" top="0.75" bottom="0.75" header="0.3" footer="0.3"/>
      <pageSetup orientation="portrait" r:id="rId1"/>
    </customSheetView>
    <customSheetView guid="{0B0B99EA-567A-4367-98D1-8FEBFA28A824}" fitToPage="1" topLeftCell="A16">
      <selection activeCell="D27" sqref="D27"/>
      <pageMargins left="0.25" right="0.25" top="0.75" bottom="0.75" header="0.3" footer="0.3"/>
      <pageSetup orientation="portrait" r:id="rId2"/>
    </customSheetView>
  </customSheetViews>
  <mergeCells count="5">
    <mergeCell ref="D11:E11"/>
    <mergeCell ref="D13:E13"/>
    <mergeCell ref="D14:E14"/>
    <mergeCell ref="B19:E19"/>
    <mergeCell ref="B23:E23"/>
  </mergeCells>
  <pageMargins left="0.25" right="0.25" top="0.75" bottom="0.75" header="0.3" footer="0.3"/>
  <pageSetup orientation="portrait" horizontalDpi="1200" verticalDpi="1200" r:id="rId3"/>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300-000000000000}">
  <sheetPr>
    <tabColor theme="8" tint="0.79998168889431442"/>
    <pageSetUpPr fitToPage="1"/>
  </sheetPr>
  <dimension ref="B2:F31"/>
  <sheetViews>
    <sheetView workbookViewId="0">
      <selection activeCell="G19" sqref="G19"/>
    </sheetView>
  </sheetViews>
  <sheetFormatPr defaultRowHeight="14.4" x14ac:dyDescent="0.3"/>
  <cols>
    <col min="2" max="2" width="23.33203125" customWidth="1"/>
    <col min="3" max="3" width="11.33203125" customWidth="1"/>
    <col min="4" max="4" width="40" customWidth="1"/>
    <col min="5" max="5" width="12.6640625" customWidth="1"/>
    <col min="6" max="6" width="11.6640625" customWidth="1"/>
    <col min="7" max="7" width="11.5546875" customWidth="1"/>
    <col min="8" max="8" width="12.33203125" customWidth="1"/>
    <col min="9" max="9" width="17.33203125" customWidth="1"/>
    <col min="10" max="10" width="9" customWidth="1"/>
    <col min="11" max="12" width="11.33203125" customWidth="1"/>
    <col min="13" max="13" width="7.33203125" customWidth="1"/>
    <col min="14" max="14" width="9.5546875" customWidth="1"/>
    <col min="15" max="15" width="5" customWidth="1"/>
    <col min="16" max="16" width="9.44140625" customWidth="1"/>
    <col min="17" max="17" width="7.33203125" customWidth="1"/>
    <col min="18" max="18" width="4.33203125" customWidth="1"/>
    <col min="19" max="19" width="6.5546875" customWidth="1"/>
    <col min="20" max="20" width="2.6640625" customWidth="1"/>
    <col min="21" max="21" width="3.33203125" customWidth="1"/>
  </cols>
  <sheetData>
    <row r="2" spans="2:6" ht="15.6" x14ac:dyDescent="0.3">
      <c r="B2" s="1" t="s">
        <v>0</v>
      </c>
    </row>
    <row r="3" spans="2:6" ht="15.6" x14ac:dyDescent="0.3">
      <c r="B3" s="1"/>
    </row>
    <row r="4" spans="2:6" ht="15.6" x14ac:dyDescent="0.3">
      <c r="B4" s="3" t="s">
        <v>35</v>
      </c>
    </row>
    <row r="5" spans="2:6" ht="15.6" x14ac:dyDescent="0.3">
      <c r="B5" s="3" t="str">
        <f>"Reporting Date:  " &amp;('Data Entry'!$B$2)</f>
        <v>Reporting Date:  3/1/2026-3/31/2026</v>
      </c>
      <c r="C5" s="3"/>
    </row>
    <row r="6" spans="2:6" ht="15.6" x14ac:dyDescent="0.3">
      <c r="B6" s="3"/>
    </row>
    <row r="8" spans="2:6" ht="15.6" x14ac:dyDescent="0.3">
      <c r="B8" s="4" t="s">
        <v>1</v>
      </c>
      <c r="D8" s="6"/>
      <c r="F8" s="6"/>
    </row>
    <row r="9" spans="2:6" ht="9.75" customHeight="1" x14ac:dyDescent="0.3">
      <c r="B9" s="4"/>
    </row>
    <row r="10" spans="2:6" ht="15.6" x14ac:dyDescent="0.3">
      <c r="B10" s="10" t="s">
        <v>2</v>
      </c>
      <c r="C10" s="2"/>
      <c r="D10" s="7">
        <f>'Data Entry'!$B$3</f>
        <v>46124</v>
      </c>
    </row>
    <row r="11" spans="2:6" ht="15.6" x14ac:dyDescent="0.3">
      <c r="B11" s="8" t="s">
        <v>3</v>
      </c>
      <c r="C11" s="5"/>
      <c r="D11" s="31" t="s">
        <v>36</v>
      </c>
      <c r="E11" s="31"/>
    </row>
    <row r="12" spans="2:6" ht="15.6" x14ac:dyDescent="0.3">
      <c r="B12" s="8" t="s">
        <v>4</v>
      </c>
      <c r="C12" s="5"/>
      <c r="D12" s="5" t="s">
        <v>37</v>
      </c>
    </row>
    <row r="13" spans="2:6" ht="129.75" customHeight="1" x14ac:dyDescent="0.3">
      <c r="B13" s="8" t="s">
        <v>5</v>
      </c>
      <c r="C13" s="5"/>
      <c r="D13" s="32" t="s">
        <v>38</v>
      </c>
      <c r="E13" s="32"/>
    </row>
    <row r="14" spans="2:6" ht="51.75" customHeight="1" x14ac:dyDescent="0.3">
      <c r="B14" s="9" t="s">
        <v>12</v>
      </c>
      <c r="C14" s="8"/>
      <c r="D14" s="32" t="s">
        <v>39</v>
      </c>
      <c r="E14" s="32"/>
    </row>
    <row r="15" spans="2:6" ht="15.6" x14ac:dyDescent="0.3">
      <c r="B15" s="8" t="s">
        <v>6</v>
      </c>
      <c r="C15" s="8"/>
      <c r="D15" s="8" t="s">
        <v>151</v>
      </c>
      <c r="E15" s="17"/>
    </row>
    <row r="16" spans="2:6" ht="15.6" x14ac:dyDescent="0.3">
      <c r="B16" s="8" t="s">
        <v>7</v>
      </c>
      <c r="C16" s="8"/>
      <c r="D16" s="8" t="s">
        <v>8</v>
      </c>
      <c r="E16" s="17"/>
    </row>
    <row r="17" spans="2:5" ht="15.6" x14ac:dyDescent="0.3">
      <c r="B17" s="5"/>
      <c r="C17" s="5"/>
      <c r="D17" s="5"/>
    </row>
    <row r="18" spans="2:5" ht="15.6" x14ac:dyDescent="0.3">
      <c r="B18" s="2"/>
      <c r="C18" s="2"/>
      <c r="D18" s="2"/>
    </row>
    <row r="19" spans="2:5" ht="66" customHeight="1" x14ac:dyDescent="0.3">
      <c r="B19" s="32" t="s">
        <v>156</v>
      </c>
      <c r="C19" s="32"/>
      <c r="D19" s="32"/>
      <c r="E19" s="32"/>
    </row>
    <row r="22" spans="2:5" x14ac:dyDescent="0.3">
      <c r="B22" s="12" t="s">
        <v>9</v>
      </c>
    </row>
    <row r="23" spans="2:5" ht="25.5" customHeight="1" x14ac:dyDescent="0.3">
      <c r="B23" s="33" t="s">
        <v>10</v>
      </c>
      <c r="C23" s="33"/>
      <c r="D23" s="33"/>
      <c r="E23" s="33"/>
    </row>
    <row r="27" spans="2:5" x14ac:dyDescent="0.3">
      <c r="B27" s="13" t="str">
        <f>"Date: " &amp; " " &amp;TEXT('Data Entry'!$B$5, "MMMM DD, YYY")</f>
        <v>Date:  April 12, 2026</v>
      </c>
      <c r="C27" s="14"/>
      <c r="D27" s="11" t="s">
        <v>11</v>
      </c>
    </row>
    <row r="28" spans="2:5" x14ac:dyDescent="0.3">
      <c r="B28" s="11"/>
      <c r="C28" s="11"/>
      <c r="D28" s="11"/>
    </row>
    <row r="29" spans="2:5" x14ac:dyDescent="0.3">
      <c r="B29" s="11"/>
      <c r="C29" s="11"/>
      <c r="D29" s="15"/>
    </row>
    <row r="30" spans="2:5" x14ac:dyDescent="0.3">
      <c r="B30" s="11"/>
      <c r="C30" s="11"/>
      <c r="D30" s="16" t="str">
        <f>'Data Entry'!$B$7</f>
        <v>Michael Heagerty</v>
      </c>
    </row>
    <row r="31" spans="2:5" x14ac:dyDescent="0.3">
      <c r="B31" s="11"/>
      <c r="C31" s="11"/>
      <c r="D31" s="11" t="str">
        <f>'Data Entry'!$B$8</f>
        <v>Principal</v>
      </c>
    </row>
  </sheetData>
  <customSheetViews>
    <customSheetView guid="{126BE109-959B-480F-842E-7874A8088742}" showPageBreaks="1" fitToPage="1" topLeftCell="A40">
      <selection activeCell="D27" sqref="D27"/>
      <pageMargins left="0.25" right="0.25" top="0.75" bottom="0.75" header="0.3" footer="0.3"/>
      <pageSetup orientation="portrait" r:id="rId1"/>
    </customSheetView>
    <customSheetView guid="{0B0B99EA-567A-4367-98D1-8FEBFA28A824}" fitToPage="1" topLeftCell="A40">
      <selection activeCell="D27" sqref="D27"/>
      <pageMargins left="0.25" right="0.25" top="0.75" bottom="0.75" header="0.3" footer="0.3"/>
      <pageSetup orientation="portrait" r:id="rId2"/>
    </customSheetView>
  </customSheetViews>
  <mergeCells count="5">
    <mergeCell ref="D11:E11"/>
    <mergeCell ref="D13:E13"/>
    <mergeCell ref="D14:E14"/>
    <mergeCell ref="B19:E19"/>
    <mergeCell ref="B23:E23"/>
  </mergeCells>
  <pageMargins left="0.25" right="0.25" top="0.75" bottom="0.75" header="0.3" footer="0.3"/>
  <pageSetup orientation="portrait" horizontalDpi="1200" verticalDpi="1200" r:id="rId3"/>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50AE549-58F2-4374-951F-8FD89DB62A6E}">
  <sheetPr>
    <tabColor theme="8" tint="0.79998168889431442"/>
    <pageSetUpPr fitToPage="1"/>
  </sheetPr>
  <dimension ref="B2:F31"/>
  <sheetViews>
    <sheetView workbookViewId="0">
      <selection activeCell="G19" sqref="G19"/>
    </sheetView>
  </sheetViews>
  <sheetFormatPr defaultRowHeight="14.4" x14ac:dyDescent="0.3"/>
  <cols>
    <col min="1" max="1" width="5.6640625" customWidth="1"/>
    <col min="2" max="2" width="23.33203125" customWidth="1"/>
    <col min="3" max="3" width="11.33203125" customWidth="1"/>
    <col min="4" max="4" width="46.33203125" customWidth="1"/>
    <col min="5" max="5" width="12.6640625" hidden="1" customWidth="1"/>
    <col min="6" max="6" width="11.6640625" customWidth="1"/>
    <col min="7" max="7" width="11.5546875" customWidth="1"/>
    <col min="8" max="8" width="12.33203125" customWidth="1"/>
    <col min="9" max="9" width="17.33203125" customWidth="1"/>
    <col min="10" max="10" width="9" customWidth="1"/>
    <col min="11" max="12" width="11.33203125" customWidth="1"/>
    <col min="13" max="13" width="7.33203125" customWidth="1"/>
    <col min="14" max="14" width="9.5546875" customWidth="1"/>
    <col min="15" max="15" width="5" customWidth="1"/>
    <col min="16" max="16" width="9.44140625" customWidth="1"/>
    <col min="17" max="17" width="7.33203125" customWidth="1"/>
    <col min="18" max="18" width="4.33203125" customWidth="1"/>
    <col min="19" max="19" width="6.5546875" customWidth="1"/>
    <col min="20" max="20" width="2.6640625" customWidth="1"/>
    <col min="21" max="21" width="3.33203125" customWidth="1"/>
  </cols>
  <sheetData>
    <row r="2" spans="2:6" ht="15.6" x14ac:dyDescent="0.3">
      <c r="B2" s="1" t="s">
        <v>0</v>
      </c>
    </row>
    <row r="3" spans="2:6" ht="15.6" x14ac:dyDescent="0.3">
      <c r="B3" s="1"/>
    </row>
    <row r="4" spans="2:6" ht="15.6" x14ac:dyDescent="0.3">
      <c r="B4" s="3" t="s">
        <v>97</v>
      </c>
    </row>
    <row r="5" spans="2:6" ht="15.6" x14ac:dyDescent="0.3">
      <c r="B5" s="3" t="str">
        <f>"Reporting Date:  " &amp;('Data Entry'!$B$2)</f>
        <v>Reporting Date:  3/1/2026-3/31/2026</v>
      </c>
      <c r="C5" s="3"/>
    </row>
    <row r="6" spans="2:6" ht="15.6" x14ac:dyDescent="0.3">
      <c r="B6" s="3"/>
    </row>
    <row r="8" spans="2:6" ht="15.6" x14ac:dyDescent="0.3">
      <c r="B8" s="4" t="s">
        <v>1</v>
      </c>
      <c r="D8" s="6"/>
      <c r="F8" s="6"/>
    </row>
    <row r="9" spans="2:6" ht="9.75" customHeight="1" x14ac:dyDescent="0.3">
      <c r="B9" s="4"/>
    </row>
    <row r="10" spans="2:6" ht="15.6" x14ac:dyDescent="0.3">
      <c r="B10" s="10" t="s">
        <v>2</v>
      </c>
      <c r="C10" s="2"/>
      <c r="D10" s="7">
        <f>'Data Entry'!$B$3</f>
        <v>46124</v>
      </c>
    </row>
    <row r="11" spans="2:6" ht="15.6" x14ac:dyDescent="0.3">
      <c r="B11" s="8" t="s">
        <v>3</v>
      </c>
      <c r="C11" s="5"/>
      <c r="D11" s="31" t="s">
        <v>21</v>
      </c>
      <c r="E11" s="31"/>
    </row>
    <row r="12" spans="2:6" ht="15.6" x14ac:dyDescent="0.3">
      <c r="B12" s="8" t="s">
        <v>4</v>
      </c>
      <c r="C12" s="5"/>
      <c r="D12" s="5" t="s">
        <v>98</v>
      </c>
    </row>
    <row r="13" spans="2:6" ht="128.25" customHeight="1" x14ac:dyDescent="0.3">
      <c r="B13" s="8" t="s">
        <v>5</v>
      </c>
      <c r="C13" s="5"/>
      <c r="D13" s="32" t="s">
        <v>99</v>
      </c>
      <c r="E13" s="32"/>
    </row>
    <row r="14" spans="2:6" ht="51.75" customHeight="1" x14ac:dyDescent="0.3">
      <c r="B14" s="9" t="s">
        <v>12</v>
      </c>
      <c r="C14" s="8"/>
      <c r="D14" s="32" t="s">
        <v>95</v>
      </c>
      <c r="E14" s="32"/>
    </row>
    <row r="15" spans="2:6" ht="15.6" x14ac:dyDescent="0.3">
      <c r="B15" s="8" t="s">
        <v>6</v>
      </c>
      <c r="C15" s="8"/>
      <c r="D15" s="8" t="s">
        <v>151</v>
      </c>
      <c r="E15" s="17"/>
    </row>
    <row r="16" spans="2:6" ht="15.6" x14ac:dyDescent="0.3">
      <c r="B16" s="8" t="s">
        <v>7</v>
      </c>
      <c r="C16" s="8"/>
      <c r="D16" s="8" t="s">
        <v>8</v>
      </c>
      <c r="E16" s="17"/>
    </row>
    <row r="17" spans="2:5" ht="15.6" x14ac:dyDescent="0.3">
      <c r="B17" s="5"/>
      <c r="C17" s="5"/>
      <c r="D17" s="5"/>
    </row>
    <row r="18" spans="2:5" ht="38.25" customHeight="1" x14ac:dyDescent="0.3">
      <c r="B18" s="2"/>
      <c r="C18" s="2"/>
      <c r="D18" s="2"/>
    </row>
    <row r="19" spans="2:5" ht="81.75" customHeight="1" x14ac:dyDescent="0.3">
      <c r="B19" s="32" t="s">
        <v>169</v>
      </c>
      <c r="C19" s="32"/>
      <c r="D19" s="32"/>
      <c r="E19" s="32"/>
    </row>
    <row r="22" spans="2:5" x14ac:dyDescent="0.3">
      <c r="B22" s="12" t="s">
        <v>9</v>
      </c>
    </row>
    <row r="23" spans="2:5" ht="25.5" customHeight="1" x14ac:dyDescent="0.3">
      <c r="B23" s="33" t="s">
        <v>10</v>
      </c>
      <c r="C23" s="33"/>
      <c r="D23" s="33"/>
      <c r="E23" s="33"/>
    </row>
    <row r="27" spans="2:5" x14ac:dyDescent="0.3">
      <c r="B27" s="13" t="str">
        <f>"Date: " &amp; " " &amp;TEXT('Data Entry'!$B$5, "MMMM DD, YYY")</f>
        <v>Date:  April 12, 2026</v>
      </c>
      <c r="C27" s="14"/>
      <c r="D27" s="11" t="s">
        <v>11</v>
      </c>
    </row>
    <row r="28" spans="2:5" x14ac:dyDescent="0.3">
      <c r="B28" s="11"/>
      <c r="C28" s="11"/>
      <c r="D28" s="11"/>
    </row>
    <row r="29" spans="2:5" x14ac:dyDescent="0.3">
      <c r="B29" s="11"/>
      <c r="C29" s="11"/>
      <c r="D29" s="15"/>
    </row>
    <row r="30" spans="2:5" x14ac:dyDescent="0.3">
      <c r="B30" s="11"/>
      <c r="C30" s="11"/>
      <c r="D30" s="16" t="str">
        <f>'Data Entry'!$B$7</f>
        <v>Michael Heagerty</v>
      </c>
    </row>
    <row r="31" spans="2:5" x14ac:dyDescent="0.3">
      <c r="B31" s="11"/>
      <c r="C31" s="11"/>
      <c r="D31" s="11" t="str">
        <f>'Data Entry'!$B$8</f>
        <v>Principal</v>
      </c>
    </row>
  </sheetData>
  <customSheetViews>
    <customSheetView guid="{126BE109-959B-480F-842E-7874A8088742}" showPageBreaks="1" fitToPage="1" hiddenColumns="1" topLeftCell="A19">
      <selection activeCell="D27" sqref="D27"/>
      <pageMargins left="0.7" right="0.7" top="0.75" bottom="0.75" header="0.3" footer="0.3"/>
      <pageSetup scale="98" orientation="portrait" horizontalDpi="1200" verticalDpi="1200" r:id="rId1"/>
    </customSheetView>
    <customSheetView guid="{0B0B99EA-567A-4367-98D1-8FEBFA28A824}" fitToPage="1" hiddenColumns="1" topLeftCell="A19">
      <selection activeCell="D27" sqref="D27"/>
      <pageMargins left="0.7" right="0.7" top="0.75" bottom="0.75" header="0.3" footer="0.3"/>
      <pageSetup scale="98" orientation="portrait" horizontalDpi="1200" verticalDpi="1200" r:id="rId2"/>
    </customSheetView>
  </customSheetViews>
  <mergeCells count="5">
    <mergeCell ref="D11:E11"/>
    <mergeCell ref="D13:E13"/>
    <mergeCell ref="D14:E14"/>
    <mergeCell ref="B19:E19"/>
    <mergeCell ref="B23:E23"/>
  </mergeCells>
  <pageMargins left="0.25" right="0.25" top="0.75" bottom="0.75" header="0.3" footer="0.3"/>
  <pageSetup scale="98" orientation="portrait" horizontalDpi="1200" verticalDpi="1200" r:id="rId3"/>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100-000000000000}">
  <sheetPr>
    <tabColor theme="9"/>
    <pageSetUpPr fitToPage="1"/>
  </sheetPr>
  <dimension ref="B2:F31"/>
  <sheetViews>
    <sheetView workbookViewId="0">
      <selection activeCell="D10" sqref="D10"/>
    </sheetView>
  </sheetViews>
  <sheetFormatPr defaultRowHeight="14.4" x14ac:dyDescent="0.3"/>
  <cols>
    <col min="2" max="2" width="23.33203125" customWidth="1"/>
    <col min="3" max="3" width="11.33203125" customWidth="1"/>
    <col min="4" max="4" width="40" customWidth="1"/>
    <col min="5" max="5" width="12.6640625" customWidth="1"/>
    <col min="6" max="6" width="11.6640625" customWidth="1"/>
    <col min="7" max="7" width="11.5546875" customWidth="1"/>
    <col min="8" max="8" width="12.33203125" customWidth="1"/>
    <col min="9" max="9" width="17.33203125" customWidth="1"/>
    <col min="10" max="10" width="9" customWidth="1"/>
    <col min="11" max="12" width="11.33203125" customWidth="1"/>
    <col min="13" max="13" width="7.33203125" customWidth="1"/>
    <col min="14" max="14" width="9.5546875" customWidth="1"/>
    <col min="15" max="15" width="5" customWidth="1"/>
    <col min="16" max="16" width="9.44140625" customWidth="1"/>
    <col min="17" max="17" width="7.33203125" customWidth="1"/>
    <col min="18" max="18" width="4.33203125" customWidth="1"/>
    <col min="19" max="19" width="6.5546875" customWidth="1"/>
    <col min="20" max="20" width="2.6640625" customWidth="1"/>
    <col min="21" max="21" width="3.33203125" customWidth="1"/>
  </cols>
  <sheetData>
    <row r="2" spans="2:6" ht="15.6" x14ac:dyDescent="0.3">
      <c r="B2" s="1" t="s">
        <v>0</v>
      </c>
    </row>
    <row r="3" spans="2:6" ht="15.6" x14ac:dyDescent="0.3">
      <c r="B3" s="1"/>
    </row>
    <row r="4" spans="2:6" ht="15.6" x14ac:dyDescent="0.3">
      <c r="B4" s="3" t="s">
        <v>27</v>
      </c>
    </row>
    <row r="5" spans="2:6" ht="15.6" x14ac:dyDescent="0.3">
      <c r="B5" s="3" t="str">
        <f>"Reporting Date:  " &amp;('Data Entry'!$B$2)</f>
        <v>Reporting Date:  3/1/2026-3/31/2026</v>
      </c>
      <c r="C5" s="3"/>
    </row>
    <row r="6" spans="2:6" ht="15.6" x14ac:dyDescent="0.3">
      <c r="B6" s="3"/>
    </row>
    <row r="8" spans="2:6" ht="15.6" x14ac:dyDescent="0.3">
      <c r="B8" s="4" t="s">
        <v>1</v>
      </c>
      <c r="D8" s="6"/>
      <c r="F8" s="6"/>
    </row>
    <row r="9" spans="2:6" ht="9.75" customHeight="1" x14ac:dyDescent="0.3">
      <c r="B9" s="4"/>
    </row>
    <row r="10" spans="2:6" ht="15.6" x14ac:dyDescent="0.3">
      <c r="B10" s="10" t="s">
        <v>2</v>
      </c>
      <c r="C10" s="2"/>
      <c r="D10" s="7">
        <f>'Data Entry'!$B$4</f>
        <v>46129</v>
      </c>
    </row>
    <row r="11" spans="2:6" ht="15.6" x14ac:dyDescent="0.3">
      <c r="B11" s="8" t="s">
        <v>3</v>
      </c>
      <c r="C11" s="5"/>
      <c r="D11" s="31" t="s">
        <v>20</v>
      </c>
      <c r="E11" s="31"/>
    </row>
    <row r="12" spans="2:6" ht="15.6" x14ac:dyDescent="0.3">
      <c r="B12" s="8" t="s">
        <v>4</v>
      </c>
      <c r="C12" s="5"/>
      <c r="D12" s="5" t="s">
        <v>28</v>
      </c>
    </row>
    <row r="13" spans="2:6" ht="117.75" customHeight="1" x14ac:dyDescent="0.3">
      <c r="B13" s="8" t="s">
        <v>5</v>
      </c>
      <c r="C13" s="5"/>
      <c r="D13" s="32" t="s">
        <v>29</v>
      </c>
      <c r="E13" s="32"/>
    </row>
    <row r="14" spans="2:6" ht="51.75" customHeight="1" x14ac:dyDescent="0.3">
      <c r="B14" s="9" t="s">
        <v>12</v>
      </c>
      <c r="C14" s="8"/>
      <c r="D14" s="32" t="s">
        <v>26</v>
      </c>
      <c r="E14" s="32"/>
    </row>
    <row r="15" spans="2:6" ht="15.6" x14ac:dyDescent="0.3">
      <c r="B15" s="8" t="s">
        <v>6</v>
      </c>
      <c r="C15" s="8"/>
      <c r="D15" s="8" t="s">
        <v>151</v>
      </c>
      <c r="E15" s="17"/>
    </row>
    <row r="16" spans="2:6" ht="15.6" x14ac:dyDescent="0.3">
      <c r="B16" s="8" t="s">
        <v>7</v>
      </c>
      <c r="C16" s="8"/>
      <c r="D16" s="8" t="s">
        <v>8</v>
      </c>
      <c r="E16" s="17"/>
    </row>
    <row r="17" spans="2:5" ht="15.6" x14ac:dyDescent="0.3">
      <c r="B17" s="5"/>
      <c r="C17" s="5"/>
      <c r="D17" s="5"/>
    </row>
    <row r="18" spans="2:5" ht="48.75" customHeight="1" x14ac:dyDescent="0.3">
      <c r="B18" s="2"/>
      <c r="C18" s="2"/>
      <c r="D18" s="2"/>
    </row>
    <row r="19" spans="2:5" ht="66" customHeight="1" x14ac:dyDescent="0.3">
      <c r="B19" s="32" t="s">
        <v>154</v>
      </c>
      <c r="C19" s="32"/>
      <c r="D19" s="32"/>
      <c r="E19" s="32"/>
    </row>
    <row r="22" spans="2:5" x14ac:dyDescent="0.3">
      <c r="B22" s="12" t="s">
        <v>9</v>
      </c>
    </row>
    <row r="23" spans="2:5" ht="25.5" customHeight="1" x14ac:dyDescent="0.3">
      <c r="B23" s="33" t="s">
        <v>10</v>
      </c>
      <c r="C23" s="33"/>
      <c r="D23" s="33"/>
      <c r="E23" s="33"/>
    </row>
    <row r="27" spans="2:5" x14ac:dyDescent="0.3">
      <c r="B27" s="13" t="str">
        <f>"Date: " &amp; " " &amp;TEXT('Data Entry'!$B$6, "MMMM DD, YYY")</f>
        <v>Date:  April 17, 2026</v>
      </c>
      <c r="C27" s="14"/>
      <c r="D27" s="11" t="s">
        <v>11</v>
      </c>
    </row>
    <row r="28" spans="2:5" x14ac:dyDescent="0.3">
      <c r="B28" s="11"/>
      <c r="C28" s="11"/>
      <c r="D28" s="11"/>
    </row>
    <row r="29" spans="2:5" x14ac:dyDescent="0.3">
      <c r="B29" s="11"/>
      <c r="C29" s="11"/>
      <c r="D29" s="15"/>
    </row>
    <row r="30" spans="2:5" x14ac:dyDescent="0.3">
      <c r="B30" s="11"/>
      <c r="C30" s="11"/>
      <c r="D30" s="16" t="str">
        <f>'Data Entry'!$B$7</f>
        <v>Michael Heagerty</v>
      </c>
    </row>
    <row r="31" spans="2:5" x14ac:dyDescent="0.3">
      <c r="B31" s="11"/>
      <c r="C31" s="11"/>
      <c r="D31" s="11" t="str">
        <f>'Data Entry'!$B$8</f>
        <v>Principal</v>
      </c>
    </row>
  </sheetData>
  <customSheetViews>
    <customSheetView guid="{126BE109-959B-480F-842E-7874A8088742}" showPageBreaks="1" fitToPage="1" topLeftCell="A16">
      <selection activeCell="D27" sqref="D27"/>
      <pageMargins left="0.25" right="0.25" top="0.75" bottom="0.75" header="0.3" footer="0.3"/>
      <pageSetup orientation="portrait" r:id="rId1"/>
    </customSheetView>
    <customSheetView guid="{0B0B99EA-567A-4367-98D1-8FEBFA28A824}" fitToPage="1" topLeftCell="A16">
      <selection activeCell="D27" sqref="D27"/>
      <pageMargins left="0.25" right="0.25" top="0.75" bottom="0.75" header="0.3" footer="0.3"/>
      <pageSetup orientation="portrait" r:id="rId2"/>
    </customSheetView>
  </customSheetViews>
  <mergeCells count="5">
    <mergeCell ref="D11:E11"/>
    <mergeCell ref="D13:E13"/>
    <mergeCell ref="D14:E14"/>
    <mergeCell ref="B19:E19"/>
    <mergeCell ref="B23:E23"/>
  </mergeCells>
  <pageMargins left="0.25" right="0.25" top="0.75" bottom="0.75" header="0.3" footer="0.3"/>
  <pageSetup orientation="portrait" horizontalDpi="1200" verticalDpi="1200" r:id="rId3"/>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600-000000000000}">
  <sheetPr>
    <tabColor theme="9"/>
    <pageSetUpPr fitToPage="1"/>
  </sheetPr>
  <dimension ref="B2:F31"/>
  <sheetViews>
    <sheetView topLeftCell="A6" workbookViewId="0">
      <selection activeCell="J20" sqref="J20"/>
    </sheetView>
  </sheetViews>
  <sheetFormatPr defaultRowHeight="14.4" x14ac:dyDescent="0.3"/>
  <cols>
    <col min="2" max="2" width="23.33203125" customWidth="1"/>
    <col min="3" max="3" width="11.33203125" customWidth="1"/>
    <col min="4" max="4" width="40" customWidth="1"/>
    <col min="5" max="5" width="12.6640625" customWidth="1"/>
    <col min="6" max="6" width="11.6640625" customWidth="1"/>
    <col min="7" max="7" width="11.5546875" customWidth="1"/>
    <col min="8" max="8" width="12.33203125" customWidth="1"/>
    <col min="9" max="9" width="17.33203125" customWidth="1"/>
    <col min="10" max="10" width="9" customWidth="1"/>
    <col min="11" max="12" width="11.33203125" customWidth="1"/>
    <col min="13" max="13" width="7.33203125" customWidth="1"/>
    <col min="14" max="14" width="9.5546875" customWidth="1"/>
    <col min="15" max="15" width="5" customWidth="1"/>
    <col min="16" max="16" width="9.44140625" customWidth="1"/>
    <col min="17" max="17" width="7.33203125" customWidth="1"/>
    <col min="18" max="18" width="4.33203125" customWidth="1"/>
    <col min="19" max="19" width="6.5546875" customWidth="1"/>
    <col min="20" max="20" width="2.6640625" customWidth="1"/>
    <col min="21" max="21" width="3.33203125" customWidth="1"/>
  </cols>
  <sheetData>
    <row r="2" spans="2:6" ht="15.6" x14ac:dyDescent="0.3">
      <c r="B2" s="1" t="s">
        <v>0</v>
      </c>
    </row>
    <row r="3" spans="2:6" ht="15.6" x14ac:dyDescent="0.3">
      <c r="B3" s="1"/>
    </row>
    <row r="4" spans="2:6" ht="15.6" x14ac:dyDescent="0.3">
      <c r="B4" s="3" t="s">
        <v>40</v>
      </c>
    </row>
    <row r="5" spans="2:6" ht="15.6" x14ac:dyDescent="0.3">
      <c r="B5" s="3" t="str">
        <f>"Reporting Date:  " &amp;('Data Entry'!$B$2)</f>
        <v>Reporting Date:  3/1/2026-3/31/2026</v>
      </c>
      <c r="C5" s="3"/>
    </row>
    <row r="6" spans="2:6" ht="15.6" x14ac:dyDescent="0.3">
      <c r="B6" s="3"/>
    </row>
    <row r="8" spans="2:6" ht="15.6" x14ac:dyDescent="0.3">
      <c r="B8" s="4" t="s">
        <v>1</v>
      </c>
      <c r="D8" s="6"/>
      <c r="F8" s="6"/>
    </row>
    <row r="9" spans="2:6" ht="9.75" customHeight="1" x14ac:dyDescent="0.3">
      <c r="B9" s="4"/>
    </row>
    <row r="10" spans="2:6" ht="15.6" x14ac:dyDescent="0.3">
      <c r="B10" s="10" t="s">
        <v>2</v>
      </c>
      <c r="C10" s="2"/>
      <c r="D10" s="7">
        <f>'Data Entry'!$B$4</f>
        <v>46129</v>
      </c>
    </row>
    <row r="11" spans="2:6" ht="15.6" x14ac:dyDescent="0.3">
      <c r="B11" s="8" t="s">
        <v>3</v>
      </c>
      <c r="C11" s="5"/>
      <c r="D11" s="31" t="s">
        <v>41</v>
      </c>
      <c r="E11" s="31"/>
    </row>
    <row r="12" spans="2:6" ht="15.6" x14ac:dyDescent="0.3">
      <c r="B12" s="8" t="s">
        <v>4</v>
      </c>
      <c r="C12" s="5"/>
      <c r="D12" s="5" t="s">
        <v>42</v>
      </c>
    </row>
    <row r="13" spans="2:6" ht="113.25" customHeight="1" x14ac:dyDescent="0.3">
      <c r="B13" s="8" t="s">
        <v>5</v>
      </c>
      <c r="C13" s="5"/>
      <c r="D13" s="32" t="s">
        <v>43</v>
      </c>
      <c r="E13" s="32"/>
    </row>
    <row r="14" spans="2:6" ht="51.75" customHeight="1" x14ac:dyDescent="0.3">
      <c r="B14" s="9" t="s">
        <v>12</v>
      </c>
      <c r="C14" s="8"/>
      <c r="D14" s="32" t="s">
        <v>39</v>
      </c>
      <c r="E14" s="32"/>
    </row>
    <row r="15" spans="2:6" ht="15.6" x14ac:dyDescent="0.3">
      <c r="B15" s="8" t="s">
        <v>6</v>
      </c>
      <c r="C15" s="8"/>
      <c r="D15" s="8" t="s">
        <v>151</v>
      </c>
      <c r="E15" s="17"/>
    </row>
    <row r="16" spans="2:6" ht="15.6" x14ac:dyDescent="0.3">
      <c r="B16" s="8" t="s">
        <v>7</v>
      </c>
      <c r="C16" s="8"/>
      <c r="D16" s="8" t="s">
        <v>8</v>
      </c>
      <c r="E16" s="17"/>
    </row>
    <row r="17" spans="2:5" ht="15.6" x14ac:dyDescent="0.3">
      <c r="B17" s="5"/>
      <c r="C17" s="5"/>
      <c r="D17" s="5"/>
    </row>
    <row r="18" spans="2:5" ht="33.75" customHeight="1" x14ac:dyDescent="0.3">
      <c r="B18" s="2"/>
      <c r="C18" s="2"/>
      <c r="D18" s="2"/>
    </row>
    <row r="19" spans="2:5" ht="66" customHeight="1" x14ac:dyDescent="0.3">
      <c r="B19" s="32" t="s">
        <v>157</v>
      </c>
      <c r="C19" s="32"/>
      <c r="D19" s="32"/>
      <c r="E19" s="32"/>
    </row>
    <row r="22" spans="2:5" x14ac:dyDescent="0.3">
      <c r="B22" s="12" t="s">
        <v>9</v>
      </c>
    </row>
    <row r="23" spans="2:5" ht="25.5" customHeight="1" x14ac:dyDescent="0.3">
      <c r="B23" s="33" t="s">
        <v>10</v>
      </c>
      <c r="C23" s="33"/>
      <c r="D23" s="33"/>
      <c r="E23" s="33"/>
    </row>
    <row r="27" spans="2:5" x14ac:dyDescent="0.3">
      <c r="B27" s="13" t="str">
        <f>"Date: " &amp; " " &amp;TEXT('Data Entry'!$B$6, "MMMM DD, YYY")</f>
        <v>Date:  April 17, 2026</v>
      </c>
      <c r="C27" s="14"/>
      <c r="D27" s="11" t="s">
        <v>11</v>
      </c>
    </row>
    <row r="28" spans="2:5" x14ac:dyDescent="0.3">
      <c r="B28" s="11"/>
      <c r="C28" s="11"/>
      <c r="D28" s="11"/>
    </row>
    <row r="29" spans="2:5" x14ac:dyDescent="0.3">
      <c r="B29" s="11"/>
      <c r="C29" s="11"/>
      <c r="D29" s="15"/>
    </row>
    <row r="30" spans="2:5" x14ac:dyDescent="0.3">
      <c r="B30" s="11"/>
      <c r="C30" s="11"/>
      <c r="D30" s="16" t="str">
        <f>'Data Entry'!$B$7</f>
        <v>Michael Heagerty</v>
      </c>
    </row>
    <row r="31" spans="2:5" x14ac:dyDescent="0.3">
      <c r="B31" s="11"/>
      <c r="C31" s="11"/>
      <c r="D31" s="11" t="str">
        <f>'Data Entry'!$B$8</f>
        <v>Principal</v>
      </c>
    </row>
  </sheetData>
  <customSheetViews>
    <customSheetView guid="{126BE109-959B-480F-842E-7874A8088742}" showPageBreaks="1" fitToPage="1" topLeftCell="A16">
      <selection activeCell="D27" sqref="D27"/>
      <pageMargins left="0.25" right="0.25" top="0.75" bottom="0.75" header="0.3" footer="0.3"/>
      <pageSetup orientation="portrait" r:id="rId1"/>
    </customSheetView>
    <customSheetView guid="{0B0B99EA-567A-4367-98D1-8FEBFA28A824}" fitToPage="1" topLeftCell="A16">
      <selection activeCell="D27" sqref="D27"/>
      <pageMargins left="0.25" right="0.25" top="0.75" bottom="0.75" header="0.3" footer="0.3"/>
      <pageSetup orientation="portrait" r:id="rId2"/>
    </customSheetView>
  </customSheetViews>
  <mergeCells count="5">
    <mergeCell ref="D11:E11"/>
    <mergeCell ref="D13:E13"/>
    <mergeCell ref="D14:E14"/>
    <mergeCell ref="B19:E19"/>
    <mergeCell ref="B23:E23"/>
  </mergeCells>
  <pageMargins left="0.25" right="0.25" top="0.75" bottom="0.75" header="0.3" footer="0.3"/>
  <pageSetup orientation="portrait" horizontalDpi="1200" verticalDpi="1200" r:id="rId3"/>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700-000000000000}">
  <sheetPr>
    <tabColor theme="9"/>
    <pageSetUpPr fitToPage="1"/>
  </sheetPr>
  <dimension ref="B2:F31"/>
  <sheetViews>
    <sheetView workbookViewId="0">
      <selection activeCell="G19" sqref="G19"/>
    </sheetView>
  </sheetViews>
  <sheetFormatPr defaultRowHeight="14.4" x14ac:dyDescent="0.3"/>
  <cols>
    <col min="2" max="2" width="23.33203125" customWidth="1"/>
    <col min="3" max="3" width="11.33203125" customWidth="1"/>
    <col min="4" max="4" width="40" customWidth="1"/>
    <col min="5" max="5" width="12.6640625" customWidth="1"/>
    <col min="6" max="6" width="11.6640625" customWidth="1"/>
    <col min="7" max="7" width="11.5546875" customWidth="1"/>
    <col min="8" max="8" width="12.33203125" customWidth="1"/>
    <col min="9" max="9" width="17.33203125" customWidth="1"/>
    <col min="10" max="10" width="9" customWidth="1"/>
    <col min="11" max="12" width="11.33203125" customWidth="1"/>
    <col min="13" max="13" width="7.33203125" customWidth="1"/>
    <col min="14" max="14" width="9.5546875" customWidth="1"/>
    <col min="15" max="15" width="5" customWidth="1"/>
    <col min="16" max="16" width="9.44140625" customWidth="1"/>
    <col min="17" max="17" width="7.33203125" customWidth="1"/>
    <col min="18" max="18" width="4.33203125" customWidth="1"/>
    <col min="19" max="19" width="6.5546875" customWidth="1"/>
    <col min="20" max="20" width="2.6640625" customWidth="1"/>
    <col min="21" max="21" width="3.33203125" customWidth="1"/>
  </cols>
  <sheetData>
    <row r="2" spans="2:6" ht="15.6" x14ac:dyDescent="0.3">
      <c r="B2" s="1" t="s">
        <v>0</v>
      </c>
    </row>
    <row r="3" spans="2:6" ht="15.6" x14ac:dyDescent="0.3">
      <c r="B3" s="1"/>
    </row>
    <row r="4" spans="2:6" ht="15.6" x14ac:dyDescent="0.3">
      <c r="B4" s="3" t="s">
        <v>44</v>
      </c>
    </row>
    <row r="5" spans="2:6" ht="15.6" x14ac:dyDescent="0.3">
      <c r="B5" s="3" t="str">
        <f>"Reporting Date:  " &amp;('Data Entry'!$B$2)</f>
        <v>Reporting Date:  3/1/2026-3/31/2026</v>
      </c>
      <c r="C5" s="3"/>
    </row>
    <row r="6" spans="2:6" ht="15.6" x14ac:dyDescent="0.3">
      <c r="B6" s="3"/>
    </row>
    <row r="8" spans="2:6" ht="15.6" x14ac:dyDescent="0.3">
      <c r="B8" s="4" t="s">
        <v>1</v>
      </c>
      <c r="D8" s="6"/>
      <c r="F8" s="6"/>
    </row>
    <row r="9" spans="2:6" ht="9.75" customHeight="1" x14ac:dyDescent="0.3">
      <c r="B9" s="4"/>
    </row>
    <row r="10" spans="2:6" ht="15.6" x14ac:dyDescent="0.3">
      <c r="B10" s="10" t="s">
        <v>2</v>
      </c>
      <c r="C10" s="2"/>
      <c r="D10" s="7">
        <f>'Data Entry'!$B$4</f>
        <v>46129</v>
      </c>
    </row>
    <row r="11" spans="2:6" ht="15.6" x14ac:dyDescent="0.3">
      <c r="B11" s="8" t="s">
        <v>3</v>
      </c>
      <c r="C11" s="5"/>
      <c r="D11" s="31" t="s">
        <v>17</v>
      </c>
      <c r="E11" s="31"/>
    </row>
    <row r="12" spans="2:6" ht="15.6" x14ac:dyDescent="0.3">
      <c r="B12" s="8" t="s">
        <v>4</v>
      </c>
      <c r="C12" s="5"/>
      <c r="D12" s="5" t="s">
        <v>45</v>
      </c>
    </row>
    <row r="13" spans="2:6" ht="144.75" customHeight="1" x14ac:dyDescent="0.3">
      <c r="B13" s="8" t="s">
        <v>5</v>
      </c>
      <c r="C13" s="5"/>
      <c r="D13" s="32" t="s">
        <v>46</v>
      </c>
      <c r="E13" s="32"/>
    </row>
    <row r="14" spans="2:6" ht="51.75" customHeight="1" x14ac:dyDescent="0.3">
      <c r="B14" s="9" t="s">
        <v>12</v>
      </c>
      <c r="C14" s="8"/>
      <c r="D14" s="32" t="s">
        <v>34</v>
      </c>
      <c r="E14" s="32"/>
    </row>
    <row r="15" spans="2:6" ht="15.6" x14ac:dyDescent="0.3">
      <c r="B15" s="8" t="s">
        <v>6</v>
      </c>
      <c r="C15" s="8"/>
      <c r="D15" s="8" t="s">
        <v>151</v>
      </c>
      <c r="E15" s="17"/>
    </row>
    <row r="16" spans="2:6" ht="15.6" x14ac:dyDescent="0.3">
      <c r="B16" s="8" t="s">
        <v>7</v>
      </c>
      <c r="C16" s="8"/>
      <c r="D16" s="8" t="s">
        <v>8</v>
      </c>
      <c r="E16" s="17"/>
    </row>
    <row r="17" spans="2:5" ht="15.6" x14ac:dyDescent="0.3">
      <c r="B17" s="5"/>
      <c r="C17" s="5"/>
      <c r="D17" s="5"/>
    </row>
    <row r="18" spans="2:5" ht="15.6" x14ac:dyDescent="0.3">
      <c r="B18" s="2"/>
      <c r="C18" s="2"/>
      <c r="D18" s="2"/>
    </row>
    <row r="19" spans="2:5" ht="66" customHeight="1" x14ac:dyDescent="0.3">
      <c r="B19" s="32" t="s">
        <v>158</v>
      </c>
      <c r="C19" s="32"/>
      <c r="D19" s="32"/>
      <c r="E19" s="32"/>
    </row>
    <row r="22" spans="2:5" x14ac:dyDescent="0.3">
      <c r="B22" s="12" t="s">
        <v>9</v>
      </c>
    </row>
    <row r="23" spans="2:5" ht="25.5" customHeight="1" x14ac:dyDescent="0.3">
      <c r="B23" s="33" t="s">
        <v>10</v>
      </c>
      <c r="C23" s="33"/>
      <c r="D23" s="33"/>
      <c r="E23" s="33"/>
    </row>
    <row r="27" spans="2:5" x14ac:dyDescent="0.3">
      <c r="B27" s="13" t="str">
        <f>"Date: " &amp; " " &amp;TEXT('Data Entry'!$B$6, "MMMM DD, YYY")</f>
        <v>Date:  April 17, 2026</v>
      </c>
      <c r="C27" s="14"/>
      <c r="D27" s="11" t="s">
        <v>11</v>
      </c>
    </row>
    <row r="28" spans="2:5" x14ac:dyDescent="0.3">
      <c r="B28" s="11"/>
      <c r="C28" s="11"/>
      <c r="D28" s="11"/>
    </row>
    <row r="29" spans="2:5" x14ac:dyDescent="0.3">
      <c r="B29" s="11"/>
      <c r="C29" s="11"/>
      <c r="D29" s="15"/>
    </row>
    <row r="30" spans="2:5" x14ac:dyDescent="0.3">
      <c r="B30" s="11"/>
      <c r="C30" s="11"/>
      <c r="D30" s="16" t="str">
        <f>'Data Entry'!$B$7</f>
        <v>Michael Heagerty</v>
      </c>
    </row>
    <row r="31" spans="2:5" x14ac:dyDescent="0.3">
      <c r="B31" s="11"/>
      <c r="C31" s="11"/>
      <c r="D31" s="11" t="str">
        <f>'Data Entry'!$B$8</f>
        <v>Principal</v>
      </c>
    </row>
  </sheetData>
  <customSheetViews>
    <customSheetView guid="{126BE109-959B-480F-842E-7874A8088742}" showPageBreaks="1" fitToPage="1" topLeftCell="A22">
      <selection activeCell="D27" sqref="D27"/>
      <pageMargins left="0.25" right="0.25" top="0.75" bottom="0.75" header="0.3" footer="0.3"/>
      <pageSetup orientation="portrait" r:id="rId1"/>
    </customSheetView>
    <customSheetView guid="{0B0B99EA-567A-4367-98D1-8FEBFA28A824}" fitToPage="1" topLeftCell="A22">
      <selection activeCell="D27" sqref="D27"/>
      <pageMargins left="0.25" right="0.25" top="0.75" bottom="0.75" header="0.3" footer="0.3"/>
      <pageSetup orientation="portrait" r:id="rId2"/>
    </customSheetView>
  </customSheetViews>
  <mergeCells count="5">
    <mergeCell ref="D11:E11"/>
    <mergeCell ref="D13:E13"/>
    <mergeCell ref="D14:E14"/>
    <mergeCell ref="B19:E19"/>
    <mergeCell ref="B23:E23"/>
  </mergeCells>
  <pageMargins left="0.25" right="0.25" top="0.75" bottom="0.75" header="0.3" footer="0.3"/>
  <pageSetup orientation="portrait" horizontalDpi="1200" verticalDpi="1200" r:id="rId3"/>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800-000000000000}">
  <sheetPr>
    <tabColor theme="9"/>
    <pageSetUpPr fitToPage="1"/>
  </sheetPr>
  <dimension ref="B2:F31"/>
  <sheetViews>
    <sheetView topLeftCell="A6" workbookViewId="0">
      <selection activeCell="D10" sqref="D10"/>
    </sheetView>
  </sheetViews>
  <sheetFormatPr defaultRowHeight="14.4" x14ac:dyDescent="0.3"/>
  <cols>
    <col min="2" max="2" width="23.33203125" customWidth="1"/>
    <col min="3" max="3" width="11.33203125" customWidth="1"/>
    <col min="4" max="4" width="40" customWidth="1"/>
    <col min="5" max="5" width="12.6640625" customWidth="1"/>
    <col min="6" max="6" width="11.6640625" customWidth="1"/>
    <col min="7" max="7" width="11.5546875" customWidth="1"/>
    <col min="8" max="8" width="12.33203125" customWidth="1"/>
    <col min="9" max="9" width="17.33203125" customWidth="1"/>
    <col min="10" max="10" width="9" customWidth="1"/>
    <col min="11" max="12" width="11.33203125" customWidth="1"/>
    <col min="13" max="13" width="7.33203125" customWidth="1"/>
    <col min="14" max="14" width="9.5546875" customWidth="1"/>
    <col min="15" max="15" width="5" customWidth="1"/>
    <col min="16" max="16" width="9.44140625" customWidth="1"/>
    <col min="17" max="17" width="7.33203125" customWidth="1"/>
    <col min="18" max="18" width="4.33203125" customWidth="1"/>
    <col min="19" max="19" width="6.5546875" customWidth="1"/>
    <col min="20" max="20" width="2.6640625" customWidth="1"/>
    <col min="21" max="21" width="3.33203125" customWidth="1"/>
  </cols>
  <sheetData>
    <row r="2" spans="2:6" ht="15.6" x14ac:dyDescent="0.3">
      <c r="B2" s="1" t="s">
        <v>0</v>
      </c>
    </row>
    <row r="3" spans="2:6" ht="15.6" x14ac:dyDescent="0.3">
      <c r="B3" s="1"/>
    </row>
    <row r="4" spans="2:6" ht="15.6" x14ac:dyDescent="0.3">
      <c r="B4" s="3" t="s">
        <v>47</v>
      </c>
    </row>
    <row r="5" spans="2:6" ht="15.6" x14ac:dyDescent="0.3">
      <c r="B5" s="3" t="str">
        <f>"Reporting Date:  " &amp;('Data Entry'!$B$2)</f>
        <v>Reporting Date:  3/1/2026-3/31/2026</v>
      </c>
      <c r="C5" s="3"/>
    </row>
    <row r="6" spans="2:6" ht="15.6" x14ac:dyDescent="0.3">
      <c r="B6" s="3"/>
    </row>
    <row r="8" spans="2:6" ht="15.6" x14ac:dyDescent="0.3">
      <c r="B8" s="4" t="s">
        <v>1</v>
      </c>
      <c r="D8" s="6"/>
      <c r="F8" s="6"/>
    </row>
    <row r="9" spans="2:6" ht="9.75" customHeight="1" x14ac:dyDescent="0.3">
      <c r="B9" s="4"/>
    </row>
    <row r="10" spans="2:6" ht="15.6" x14ac:dyDescent="0.3">
      <c r="B10" s="10" t="s">
        <v>2</v>
      </c>
      <c r="C10" s="2"/>
      <c r="D10" s="7">
        <f>'Data Entry'!$B$4</f>
        <v>46129</v>
      </c>
    </row>
    <row r="11" spans="2:6" ht="15.6" x14ac:dyDescent="0.3">
      <c r="B11" s="8" t="s">
        <v>3</v>
      </c>
      <c r="C11" s="5"/>
      <c r="D11" s="31" t="s">
        <v>20</v>
      </c>
      <c r="E11" s="31"/>
    </row>
    <row r="12" spans="2:6" ht="15.6" x14ac:dyDescent="0.3">
      <c r="B12" s="8" t="s">
        <v>4</v>
      </c>
      <c r="C12" s="5"/>
      <c r="D12" s="5" t="s">
        <v>48</v>
      </c>
    </row>
    <row r="13" spans="2:6" ht="111.75" customHeight="1" x14ac:dyDescent="0.3">
      <c r="B13" s="8" t="s">
        <v>5</v>
      </c>
      <c r="C13" s="5"/>
      <c r="D13" s="32" t="s">
        <v>49</v>
      </c>
      <c r="E13" s="32"/>
    </row>
    <row r="14" spans="2:6" ht="51.75" customHeight="1" x14ac:dyDescent="0.3">
      <c r="B14" s="9" t="s">
        <v>12</v>
      </c>
      <c r="C14" s="8"/>
      <c r="D14" s="32" t="s">
        <v>50</v>
      </c>
      <c r="E14" s="32"/>
    </row>
    <row r="15" spans="2:6" ht="15.6" x14ac:dyDescent="0.3">
      <c r="B15" s="8" t="s">
        <v>6</v>
      </c>
      <c r="C15" s="8"/>
      <c r="D15" s="8" t="s">
        <v>151</v>
      </c>
      <c r="E15" s="17"/>
    </row>
    <row r="16" spans="2:6" ht="15.6" x14ac:dyDescent="0.3">
      <c r="B16" s="8" t="s">
        <v>7</v>
      </c>
      <c r="C16" s="8"/>
      <c r="D16" s="8" t="s">
        <v>8</v>
      </c>
      <c r="E16" s="17"/>
    </row>
    <row r="17" spans="2:5" ht="15.6" x14ac:dyDescent="0.3">
      <c r="B17" s="5"/>
      <c r="C17" s="5"/>
      <c r="D17" s="5"/>
    </row>
    <row r="18" spans="2:5" ht="38.25" customHeight="1" x14ac:dyDescent="0.3">
      <c r="B18" s="2"/>
      <c r="C18" s="2"/>
      <c r="D18" s="2"/>
    </row>
    <row r="19" spans="2:5" ht="66" customHeight="1" x14ac:dyDescent="0.3">
      <c r="B19" s="32" t="s">
        <v>159</v>
      </c>
      <c r="C19" s="32"/>
      <c r="D19" s="32"/>
      <c r="E19" s="32"/>
    </row>
    <row r="22" spans="2:5" x14ac:dyDescent="0.3">
      <c r="B22" s="12" t="s">
        <v>9</v>
      </c>
    </row>
    <row r="23" spans="2:5" ht="25.5" customHeight="1" x14ac:dyDescent="0.3">
      <c r="B23" s="33" t="s">
        <v>10</v>
      </c>
      <c r="C23" s="33"/>
      <c r="D23" s="33"/>
      <c r="E23" s="33"/>
    </row>
    <row r="27" spans="2:5" x14ac:dyDescent="0.3">
      <c r="B27" s="13" t="str">
        <f>"Date: " &amp; " " &amp;TEXT('Data Entry'!$B$6, "MMMM DD, YYY")</f>
        <v>Date:  April 17, 2026</v>
      </c>
      <c r="C27" s="14"/>
      <c r="D27" s="11" t="s">
        <v>11</v>
      </c>
    </row>
    <row r="28" spans="2:5" x14ac:dyDescent="0.3">
      <c r="B28" s="11"/>
      <c r="C28" s="11"/>
      <c r="D28" s="11"/>
    </row>
    <row r="29" spans="2:5" x14ac:dyDescent="0.3">
      <c r="B29" s="11"/>
      <c r="C29" s="11"/>
      <c r="D29" s="15"/>
    </row>
    <row r="30" spans="2:5" x14ac:dyDescent="0.3">
      <c r="B30" s="11"/>
      <c r="C30" s="11"/>
      <c r="D30" s="16" t="str">
        <f>'Data Entry'!$B$7</f>
        <v>Michael Heagerty</v>
      </c>
    </row>
    <row r="31" spans="2:5" x14ac:dyDescent="0.3">
      <c r="B31" s="11"/>
      <c r="C31" s="11"/>
      <c r="D31" s="11" t="str">
        <f>'Data Entry'!$B$8</f>
        <v>Principal</v>
      </c>
    </row>
  </sheetData>
  <customSheetViews>
    <customSheetView guid="{126BE109-959B-480F-842E-7874A8088742}" showPageBreaks="1" fitToPage="1" topLeftCell="A16">
      <selection activeCell="D27" sqref="D27"/>
      <pageMargins left="0.25" right="0.25" top="0.75" bottom="0.75" header="0.3" footer="0.3"/>
      <pageSetup orientation="portrait" r:id="rId1"/>
    </customSheetView>
    <customSheetView guid="{0B0B99EA-567A-4367-98D1-8FEBFA28A824}" fitToPage="1" topLeftCell="A16">
      <selection activeCell="D27" sqref="D27"/>
      <pageMargins left="0.25" right="0.25" top="0.75" bottom="0.75" header="0.3" footer="0.3"/>
      <pageSetup orientation="portrait" r:id="rId2"/>
    </customSheetView>
  </customSheetViews>
  <mergeCells count="5">
    <mergeCell ref="D11:E11"/>
    <mergeCell ref="D13:E13"/>
    <mergeCell ref="D14:E14"/>
    <mergeCell ref="B19:E19"/>
    <mergeCell ref="B23:E23"/>
  </mergeCells>
  <pageMargins left="0.25" right="0.25" top="0.75" bottom="0.75" header="0.3" footer="0.3"/>
  <pageSetup orientation="portrait" horizontalDpi="1200" verticalDpi="1200" r:id="rId3"/>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900-000000000000}">
  <sheetPr>
    <tabColor theme="9"/>
    <pageSetUpPr fitToPage="1"/>
  </sheetPr>
  <dimension ref="B2:F31"/>
  <sheetViews>
    <sheetView workbookViewId="0">
      <selection activeCell="G19" sqref="G19"/>
    </sheetView>
  </sheetViews>
  <sheetFormatPr defaultRowHeight="14.4" x14ac:dyDescent="0.3"/>
  <cols>
    <col min="2" max="2" width="23.33203125" customWidth="1"/>
    <col min="3" max="3" width="11.33203125" customWidth="1"/>
    <col min="4" max="4" width="40" customWidth="1"/>
    <col min="5" max="5" width="12.6640625" customWidth="1"/>
    <col min="6" max="6" width="11.6640625" customWidth="1"/>
    <col min="7" max="7" width="11.5546875" customWidth="1"/>
    <col min="8" max="8" width="12.33203125" customWidth="1"/>
    <col min="9" max="9" width="17.33203125" customWidth="1"/>
    <col min="10" max="10" width="9" customWidth="1"/>
    <col min="11" max="12" width="11.33203125" customWidth="1"/>
    <col min="13" max="13" width="7.33203125" customWidth="1"/>
    <col min="14" max="14" width="9.5546875" customWidth="1"/>
    <col min="15" max="15" width="5" customWidth="1"/>
    <col min="16" max="16" width="9.44140625" customWidth="1"/>
    <col min="17" max="17" width="7.33203125" customWidth="1"/>
    <col min="18" max="18" width="4.33203125" customWidth="1"/>
    <col min="19" max="19" width="6.5546875" customWidth="1"/>
    <col min="20" max="20" width="2.6640625" customWidth="1"/>
    <col min="21" max="21" width="3.33203125" customWidth="1"/>
  </cols>
  <sheetData>
    <row r="2" spans="2:6" ht="15.6" x14ac:dyDescent="0.3">
      <c r="B2" s="1" t="s">
        <v>0</v>
      </c>
    </row>
    <row r="3" spans="2:6" ht="15.6" x14ac:dyDescent="0.3">
      <c r="B3" s="1"/>
    </row>
    <row r="4" spans="2:6" ht="15.6" x14ac:dyDescent="0.3">
      <c r="B4" s="3" t="s">
        <v>51</v>
      </c>
    </row>
    <row r="5" spans="2:6" ht="15.6" x14ac:dyDescent="0.3">
      <c r="B5" s="3" t="str">
        <f>"Reporting Date:  " &amp;('Data Entry'!$B$2)</f>
        <v>Reporting Date:  3/1/2026-3/31/2026</v>
      </c>
      <c r="C5" s="3"/>
    </row>
    <row r="6" spans="2:6" ht="15.6" x14ac:dyDescent="0.3">
      <c r="B6" s="3"/>
    </row>
    <row r="8" spans="2:6" ht="15.6" x14ac:dyDescent="0.3">
      <c r="B8" s="4" t="s">
        <v>1</v>
      </c>
      <c r="D8" s="6"/>
      <c r="F8" s="6"/>
    </row>
    <row r="9" spans="2:6" ht="9.75" customHeight="1" x14ac:dyDescent="0.3">
      <c r="B9" s="4"/>
    </row>
    <row r="10" spans="2:6" ht="15.6" x14ac:dyDescent="0.3">
      <c r="B10" s="10" t="s">
        <v>2</v>
      </c>
      <c r="C10" s="2"/>
      <c r="D10" s="7">
        <f>'Data Entry'!$B$4</f>
        <v>46129</v>
      </c>
    </row>
    <row r="11" spans="2:6" ht="15.6" x14ac:dyDescent="0.3">
      <c r="B11" s="8" t="s">
        <v>3</v>
      </c>
      <c r="C11" s="5"/>
      <c r="D11" s="31" t="s">
        <v>20</v>
      </c>
      <c r="E11" s="31"/>
    </row>
    <row r="12" spans="2:6" ht="15.6" x14ac:dyDescent="0.3">
      <c r="B12" s="8" t="s">
        <v>4</v>
      </c>
      <c r="C12" s="5"/>
      <c r="D12" s="5" t="s">
        <v>52</v>
      </c>
    </row>
    <row r="13" spans="2:6" ht="144.75" customHeight="1" x14ac:dyDescent="0.3">
      <c r="B13" s="8" t="s">
        <v>5</v>
      </c>
      <c r="C13" s="5"/>
      <c r="D13" s="32" t="s">
        <v>53</v>
      </c>
      <c r="E13" s="32"/>
    </row>
    <row r="14" spans="2:6" ht="48.75" customHeight="1" x14ac:dyDescent="0.3">
      <c r="B14" s="9" t="s">
        <v>12</v>
      </c>
      <c r="C14" s="8"/>
      <c r="D14" s="32" t="s">
        <v>54</v>
      </c>
      <c r="E14" s="32"/>
    </row>
    <row r="15" spans="2:6" ht="15.6" x14ac:dyDescent="0.3">
      <c r="B15" s="8" t="s">
        <v>6</v>
      </c>
      <c r="C15" s="8"/>
      <c r="D15" s="8" t="s">
        <v>151</v>
      </c>
      <c r="E15" s="17"/>
    </row>
    <row r="16" spans="2:6" ht="15.6" x14ac:dyDescent="0.3">
      <c r="B16" s="8" t="s">
        <v>7</v>
      </c>
      <c r="C16" s="8"/>
      <c r="D16" s="8" t="s">
        <v>8</v>
      </c>
      <c r="E16" s="17"/>
    </row>
    <row r="17" spans="2:5" ht="15.6" x14ac:dyDescent="0.3">
      <c r="B17" s="5"/>
      <c r="C17" s="5"/>
      <c r="D17" s="5"/>
    </row>
    <row r="18" spans="2:5" ht="25.5" customHeight="1" x14ac:dyDescent="0.3">
      <c r="B18" s="2"/>
      <c r="C18" s="2"/>
      <c r="D18" s="2"/>
    </row>
    <row r="19" spans="2:5" ht="66" customHeight="1" x14ac:dyDescent="0.3">
      <c r="B19" s="32" t="s">
        <v>160</v>
      </c>
      <c r="C19" s="32"/>
      <c r="D19" s="32"/>
      <c r="E19" s="32"/>
    </row>
    <row r="22" spans="2:5" x14ac:dyDescent="0.3">
      <c r="B22" s="12" t="s">
        <v>9</v>
      </c>
    </row>
    <row r="23" spans="2:5" ht="25.5" customHeight="1" x14ac:dyDescent="0.3">
      <c r="B23" s="33" t="s">
        <v>10</v>
      </c>
      <c r="C23" s="33"/>
      <c r="D23" s="33"/>
      <c r="E23" s="33"/>
    </row>
    <row r="27" spans="2:5" x14ac:dyDescent="0.3">
      <c r="B27" s="13" t="str">
        <f>"Date: " &amp; " " &amp;TEXT('Data Entry'!$B$6, "MMMM DD, YYY")</f>
        <v>Date:  April 17, 2026</v>
      </c>
      <c r="C27" s="14"/>
      <c r="D27" s="11" t="s">
        <v>11</v>
      </c>
    </row>
    <row r="28" spans="2:5" x14ac:dyDescent="0.3">
      <c r="B28" s="11"/>
      <c r="C28" s="11"/>
      <c r="D28" s="11"/>
    </row>
    <row r="29" spans="2:5" x14ac:dyDescent="0.3">
      <c r="B29" s="11"/>
      <c r="C29" s="11"/>
      <c r="D29" s="15"/>
    </row>
    <row r="30" spans="2:5" x14ac:dyDescent="0.3">
      <c r="B30" s="11"/>
      <c r="C30" s="11"/>
      <c r="D30" s="16" t="str">
        <f>'Data Entry'!$B$7</f>
        <v>Michael Heagerty</v>
      </c>
    </row>
    <row r="31" spans="2:5" x14ac:dyDescent="0.3">
      <c r="B31" s="11"/>
      <c r="C31" s="11"/>
      <c r="D31" s="11" t="str">
        <f>'Data Entry'!$B$8</f>
        <v>Principal</v>
      </c>
    </row>
  </sheetData>
  <customSheetViews>
    <customSheetView guid="{126BE109-959B-480F-842E-7874A8088742}" showPageBreaks="1" fitToPage="1" topLeftCell="A22">
      <selection activeCell="D27" sqref="D27"/>
      <pageMargins left="0.25" right="0.25" top="0.75" bottom="0.75" header="0.3" footer="0.3"/>
      <pageSetup orientation="portrait" r:id="rId1"/>
    </customSheetView>
    <customSheetView guid="{0B0B99EA-567A-4367-98D1-8FEBFA28A824}" fitToPage="1" topLeftCell="A22">
      <selection activeCell="D27" sqref="D27"/>
      <pageMargins left="0.25" right="0.25" top="0.75" bottom="0.75" header="0.3" footer="0.3"/>
      <pageSetup orientation="portrait" r:id="rId2"/>
    </customSheetView>
  </customSheetViews>
  <mergeCells count="5">
    <mergeCell ref="D11:E11"/>
    <mergeCell ref="D13:E13"/>
    <mergeCell ref="D14:E14"/>
    <mergeCell ref="B19:E19"/>
    <mergeCell ref="B23:E23"/>
  </mergeCells>
  <pageMargins left="0.25" right="0.25" top="0.75" bottom="0.75" header="0.3" footer="0.3"/>
  <pageSetup orientation="portrait" horizontalDpi="1200" verticalDpi="1200" r:id="rId3"/>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A00-000000000000}">
  <sheetPr>
    <tabColor theme="9"/>
    <pageSetUpPr fitToPage="1"/>
  </sheetPr>
  <dimension ref="B2:F31"/>
  <sheetViews>
    <sheetView workbookViewId="0">
      <selection activeCell="G19" sqref="G19"/>
    </sheetView>
  </sheetViews>
  <sheetFormatPr defaultRowHeight="14.4" x14ac:dyDescent="0.3"/>
  <cols>
    <col min="2" max="2" width="23.33203125" customWidth="1"/>
    <col min="3" max="3" width="11.33203125" customWidth="1"/>
    <col min="4" max="4" width="40" customWidth="1"/>
    <col min="5" max="5" width="12.6640625" customWidth="1"/>
    <col min="6" max="6" width="11.6640625" customWidth="1"/>
    <col min="7" max="7" width="11.5546875" customWidth="1"/>
    <col min="8" max="8" width="12.33203125" customWidth="1"/>
    <col min="9" max="9" width="17.33203125" customWidth="1"/>
    <col min="10" max="10" width="9" customWidth="1"/>
    <col min="11" max="12" width="11.33203125" customWidth="1"/>
    <col min="13" max="13" width="7.33203125" customWidth="1"/>
    <col min="14" max="14" width="9.5546875" customWidth="1"/>
    <col min="15" max="15" width="5" customWidth="1"/>
    <col min="16" max="16" width="9.44140625" customWidth="1"/>
    <col min="17" max="17" width="7.33203125" customWidth="1"/>
    <col min="18" max="18" width="4.33203125" customWidth="1"/>
    <col min="19" max="19" width="6.5546875" customWidth="1"/>
    <col min="20" max="20" width="2.6640625" customWidth="1"/>
    <col min="21" max="21" width="3.33203125" customWidth="1"/>
  </cols>
  <sheetData>
    <row r="2" spans="2:6" ht="15.6" x14ac:dyDescent="0.3">
      <c r="B2" s="1" t="s">
        <v>0</v>
      </c>
    </row>
    <row r="3" spans="2:6" ht="15.6" x14ac:dyDescent="0.3">
      <c r="B3" s="1"/>
    </row>
    <row r="4" spans="2:6" ht="15.6" x14ac:dyDescent="0.3">
      <c r="B4" s="3" t="s">
        <v>55</v>
      </c>
    </row>
    <row r="5" spans="2:6" ht="15.6" x14ac:dyDescent="0.3">
      <c r="B5" s="3" t="str">
        <f>"Reporting Date:  " &amp;('Data Entry'!$B$2)</f>
        <v>Reporting Date:  3/1/2026-3/31/2026</v>
      </c>
      <c r="C5" s="3"/>
    </row>
    <row r="6" spans="2:6" ht="15.6" x14ac:dyDescent="0.3">
      <c r="B6" s="3"/>
    </row>
    <row r="8" spans="2:6" ht="15.6" x14ac:dyDescent="0.3">
      <c r="B8" s="4" t="s">
        <v>1</v>
      </c>
      <c r="D8" s="6"/>
      <c r="F8" s="6"/>
    </row>
    <row r="9" spans="2:6" ht="9.75" customHeight="1" x14ac:dyDescent="0.3">
      <c r="B9" s="4"/>
    </row>
    <row r="10" spans="2:6" ht="15.6" x14ac:dyDescent="0.3">
      <c r="B10" s="10" t="s">
        <v>2</v>
      </c>
      <c r="C10" s="2"/>
      <c r="D10" s="7">
        <f>'Data Entry'!$B$4</f>
        <v>46129</v>
      </c>
    </row>
    <row r="11" spans="2:6" ht="15.6" x14ac:dyDescent="0.3">
      <c r="B11" s="8" t="s">
        <v>3</v>
      </c>
      <c r="C11" s="5"/>
      <c r="D11" s="31" t="s">
        <v>41</v>
      </c>
      <c r="E11" s="31"/>
    </row>
    <row r="12" spans="2:6" ht="15.6" x14ac:dyDescent="0.3">
      <c r="B12" s="8" t="s">
        <v>4</v>
      </c>
      <c r="C12" s="5"/>
      <c r="D12" s="5" t="s">
        <v>56</v>
      </c>
    </row>
    <row r="13" spans="2:6" ht="111.75" customHeight="1" x14ac:dyDescent="0.3">
      <c r="B13" s="8" t="s">
        <v>5</v>
      </c>
      <c r="C13" s="5"/>
      <c r="D13" s="32" t="s">
        <v>57</v>
      </c>
      <c r="E13" s="32"/>
    </row>
    <row r="14" spans="2:6" ht="51.75" customHeight="1" x14ac:dyDescent="0.3">
      <c r="B14" s="9" t="s">
        <v>12</v>
      </c>
      <c r="C14" s="8"/>
      <c r="D14" s="32" t="s">
        <v>58</v>
      </c>
      <c r="E14" s="32"/>
    </row>
    <row r="15" spans="2:6" ht="15.6" x14ac:dyDescent="0.3">
      <c r="B15" s="8" t="s">
        <v>6</v>
      </c>
      <c r="C15" s="8"/>
      <c r="D15" s="8" t="s">
        <v>151</v>
      </c>
      <c r="E15" s="17"/>
    </row>
    <row r="16" spans="2:6" ht="15.6" x14ac:dyDescent="0.3">
      <c r="B16" s="8" t="s">
        <v>7</v>
      </c>
      <c r="C16" s="8"/>
      <c r="D16" s="8" t="s">
        <v>8</v>
      </c>
      <c r="E16" s="17"/>
    </row>
    <row r="17" spans="2:5" ht="15.6" x14ac:dyDescent="0.3">
      <c r="B17" s="5"/>
      <c r="C17" s="5"/>
      <c r="D17" s="5"/>
    </row>
    <row r="18" spans="2:5" ht="38.25" customHeight="1" x14ac:dyDescent="0.3">
      <c r="B18" s="2"/>
      <c r="C18" s="2"/>
      <c r="D18" s="2"/>
    </row>
    <row r="19" spans="2:5" ht="81.75" customHeight="1" x14ac:dyDescent="0.3">
      <c r="B19" s="32" t="s">
        <v>161</v>
      </c>
      <c r="C19" s="32"/>
      <c r="D19" s="32"/>
      <c r="E19" s="32"/>
    </row>
    <row r="22" spans="2:5" x14ac:dyDescent="0.3">
      <c r="B22" s="12" t="s">
        <v>9</v>
      </c>
    </row>
    <row r="23" spans="2:5" ht="25.5" customHeight="1" x14ac:dyDescent="0.3">
      <c r="B23" s="33" t="s">
        <v>10</v>
      </c>
      <c r="C23" s="33"/>
      <c r="D23" s="33"/>
      <c r="E23" s="33"/>
    </row>
    <row r="27" spans="2:5" x14ac:dyDescent="0.3">
      <c r="B27" s="13" t="str">
        <f>"Date: " &amp; " " &amp;TEXT('Data Entry'!$B$6, "MMMM DD, YYY")</f>
        <v>Date:  April 17, 2026</v>
      </c>
      <c r="C27" s="14"/>
      <c r="D27" s="11" t="s">
        <v>11</v>
      </c>
    </row>
    <row r="28" spans="2:5" x14ac:dyDescent="0.3">
      <c r="B28" s="11"/>
      <c r="C28" s="11"/>
      <c r="D28" s="11"/>
    </row>
    <row r="29" spans="2:5" x14ac:dyDescent="0.3">
      <c r="B29" s="11"/>
      <c r="C29" s="11"/>
      <c r="D29" s="15"/>
    </row>
    <row r="30" spans="2:5" x14ac:dyDescent="0.3">
      <c r="B30" s="11"/>
      <c r="C30" s="11"/>
      <c r="D30" s="16" t="str">
        <f>'Data Entry'!$B$7</f>
        <v>Michael Heagerty</v>
      </c>
    </row>
    <row r="31" spans="2:5" x14ac:dyDescent="0.3">
      <c r="B31" s="11"/>
      <c r="C31" s="11"/>
      <c r="D31" s="11" t="str">
        <f>'Data Entry'!$B$8</f>
        <v>Principal</v>
      </c>
    </row>
  </sheetData>
  <customSheetViews>
    <customSheetView guid="{126BE109-959B-480F-842E-7874A8088742}" showPageBreaks="1" fitToPage="1" topLeftCell="A16">
      <selection activeCell="D27" sqref="D27"/>
      <pageMargins left="0.25" right="0.25" top="0.75" bottom="0.75" header="0.3" footer="0.3"/>
      <pageSetup orientation="portrait" r:id="rId1"/>
    </customSheetView>
    <customSheetView guid="{0B0B99EA-567A-4367-98D1-8FEBFA28A824}" fitToPage="1" topLeftCell="A16">
      <selection activeCell="D27" sqref="D27"/>
      <pageMargins left="0.25" right="0.25" top="0.75" bottom="0.75" header="0.3" footer="0.3"/>
      <pageSetup orientation="portrait" r:id="rId2"/>
    </customSheetView>
  </customSheetViews>
  <mergeCells count="5">
    <mergeCell ref="D11:E11"/>
    <mergeCell ref="D13:E13"/>
    <mergeCell ref="D14:E14"/>
    <mergeCell ref="B19:E19"/>
    <mergeCell ref="B23:E23"/>
  </mergeCells>
  <pageMargins left="0.25" right="0.25" top="0.75" bottom="0.75" header="0.3" footer="0.3"/>
  <pageSetup orientation="portrait" horizontalDpi="1200" verticalDpi="1200" r:id="rId3"/>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B00-000000000000}">
  <sheetPr>
    <tabColor theme="9"/>
    <pageSetUpPr fitToPage="1"/>
  </sheetPr>
  <dimension ref="B2:F31"/>
  <sheetViews>
    <sheetView workbookViewId="0">
      <selection activeCell="G19" sqref="G19"/>
    </sheetView>
  </sheetViews>
  <sheetFormatPr defaultRowHeight="14.4" x14ac:dyDescent="0.3"/>
  <cols>
    <col min="2" max="2" width="23.33203125" customWidth="1"/>
    <col min="3" max="3" width="7.33203125" customWidth="1"/>
    <col min="4" max="4" width="40" customWidth="1"/>
    <col min="5" max="5" width="12.6640625" customWidth="1"/>
    <col min="6" max="6" width="11.6640625" customWidth="1"/>
    <col min="7" max="7" width="11.5546875" customWidth="1"/>
    <col min="8" max="8" width="12.33203125" customWidth="1"/>
    <col min="9" max="9" width="17.33203125" customWidth="1"/>
    <col min="10" max="10" width="9" customWidth="1"/>
    <col min="11" max="12" width="11.33203125" customWidth="1"/>
    <col min="13" max="13" width="7.33203125" customWidth="1"/>
    <col min="14" max="14" width="9.5546875" customWidth="1"/>
    <col min="15" max="15" width="5" customWidth="1"/>
    <col min="16" max="16" width="9.44140625" customWidth="1"/>
    <col min="17" max="17" width="7.33203125" customWidth="1"/>
    <col min="18" max="18" width="4.33203125" customWidth="1"/>
    <col min="19" max="19" width="6.5546875" customWidth="1"/>
    <col min="20" max="20" width="2.6640625" customWidth="1"/>
    <col min="21" max="21" width="3.33203125" customWidth="1"/>
  </cols>
  <sheetData>
    <row r="2" spans="2:6" ht="15.6" x14ac:dyDescent="0.3">
      <c r="B2" s="1" t="s">
        <v>0</v>
      </c>
    </row>
    <row r="3" spans="2:6" ht="15.6" x14ac:dyDescent="0.3">
      <c r="B3" s="1"/>
    </row>
    <row r="4" spans="2:6" ht="15.6" x14ac:dyDescent="0.3">
      <c r="B4" s="3" t="s">
        <v>59</v>
      </c>
    </row>
    <row r="5" spans="2:6" ht="15.6" x14ac:dyDescent="0.3">
      <c r="B5" s="3" t="str">
        <f>"Reporting Date:  " &amp;('Data Entry'!$B$2)</f>
        <v>Reporting Date:  3/1/2026-3/31/2026</v>
      </c>
      <c r="C5" s="3"/>
    </row>
    <row r="6" spans="2:6" ht="15.6" x14ac:dyDescent="0.3">
      <c r="B6" s="3"/>
    </row>
    <row r="8" spans="2:6" ht="15.6" x14ac:dyDescent="0.3">
      <c r="B8" s="4" t="s">
        <v>1</v>
      </c>
      <c r="D8" s="6"/>
      <c r="F8" s="6"/>
    </row>
    <row r="9" spans="2:6" ht="9.75" customHeight="1" x14ac:dyDescent="0.3">
      <c r="B9" s="4"/>
    </row>
    <row r="10" spans="2:6" ht="15.6" x14ac:dyDescent="0.3">
      <c r="B10" s="10" t="s">
        <v>2</v>
      </c>
      <c r="C10" s="2"/>
      <c r="D10" s="7">
        <f>'Data Entry'!$B$4</f>
        <v>46129</v>
      </c>
    </row>
    <row r="11" spans="2:6" ht="15.6" x14ac:dyDescent="0.3">
      <c r="B11" s="8" t="s">
        <v>3</v>
      </c>
      <c r="C11" s="5"/>
      <c r="D11" s="31" t="s">
        <v>17</v>
      </c>
      <c r="E11" s="31"/>
    </row>
    <row r="12" spans="2:6" ht="15.6" x14ac:dyDescent="0.3">
      <c r="B12" s="8" t="s">
        <v>4</v>
      </c>
      <c r="C12" s="5"/>
      <c r="D12" s="5" t="s">
        <v>60</v>
      </c>
    </row>
    <row r="13" spans="2:6" ht="111.75" customHeight="1" x14ac:dyDescent="0.3">
      <c r="B13" s="8" t="s">
        <v>5</v>
      </c>
      <c r="C13" s="5"/>
      <c r="D13" s="32" t="s">
        <v>61</v>
      </c>
      <c r="E13" s="32"/>
    </row>
    <row r="14" spans="2:6" ht="51.75" customHeight="1" x14ac:dyDescent="0.3">
      <c r="B14" s="9" t="s">
        <v>12</v>
      </c>
      <c r="C14" s="8"/>
      <c r="D14" s="32" t="s">
        <v>62</v>
      </c>
      <c r="E14" s="32"/>
    </row>
    <row r="15" spans="2:6" ht="15.6" x14ac:dyDescent="0.3">
      <c r="B15" s="8" t="s">
        <v>6</v>
      </c>
      <c r="C15" s="8"/>
      <c r="D15" s="8" t="s">
        <v>151</v>
      </c>
      <c r="E15" s="17"/>
    </row>
    <row r="16" spans="2:6" ht="15.6" x14ac:dyDescent="0.3">
      <c r="B16" s="8" t="s">
        <v>7</v>
      </c>
      <c r="C16" s="8"/>
      <c r="D16" s="8" t="s">
        <v>8</v>
      </c>
      <c r="E16" s="17"/>
    </row>
    <row r="17" spans="2:5" ht="15.6" x14ac:dyDescent="0.3">
      <c r="B17" s="5"/>
      <c r="C17" s="5"/>
      <c r="D17" s="5"/>
    </row>
    <row r="18" spans="2:5" ht="7.95" customHeight="1" x14ac:dyDescent="0.3">
      <c r="B18" s="2"/>
      <c r="C18" s="2"/>
      <c r="D18" s="2"/>
    </row>
    <row r="19" spans="2:5" ht="81.75" customHeight="1" x14ac:dyDescent="0.3">
      <c r="B19" s="32" t="s">
        <v>162</v>
      </c>
      <c r="C19" s="32"/>
      <c r="D19" s="32"/>
      <c r="E19" s="32"/>
    </row>
    <row r="22" spans="2:5" x14ac:dyDescent="0.3">
      <c r="B22" s="12" t="s">
        <v>9</v>
      </c>
    </row>
    <row r="23" spans="2:5" ht="25.5" customHeight="1" x14ac:dyDescent="0.3">
      <c r="B23" s="33" t="s">
        <v>10</v>
      </c>
      <c r="C23" s="33"/>
      <c r="D23" s="33"/>
      <c r="E23" s="33"/>
    </row>
    <row r="27" spans="2:5" x14ac:dyDescent="0.3">
      <c r="B27" s="13" t="str">
        <f>"Date: " &amp; " " &amp;TEXT('Data Entry'!$B$6, "MMMM DD, YYY")</f>
        <v>Date:  April 17, 2026</v>
      </c>
      <c r="C27" s="14"/>
      <c r="D27" s="11" t="s">
        <v>11</v>
      </c>
    </row>
    <row r="28" spans="2:5" x14ac:dyDescent="0.3">
      <c r="B28" s="11"/>
      <c r="C28" s="11"/>
      <c r="D28" s="11"/>
    </row>
    <row r="29" spans="2:5" x14ac:dyDescent="0.3">
      <c r="B29" s="11"/>
      <c r="C29" s="11"/>
      <c r="D29" s="15"/>
    </row>
    <row r="30" spans="2:5" x14ac:dyDescent="0.3">
      <c r="B30" s="11"/>
      <c r="C30" s="11"/>
      <c r="D30" s="16" t="str">
        <f>'Data Entry'!$B$7</f>
        <v>Michael Heagerty</v>
      </c>
    </row>
    <row r="31" spans="2:5" x14ac:dyDescent="0.3">
      <c r="B31" s="11"/>
      <c r="C31" s="11"/>
      <c r="D31" s="11" t="str">
        <f>'Data Entry'!$B$8</f>
        <v>Principal</v>
      </c>
    </row>
  </sheetData>
  <customSheetViews>
    <customSheetView guid="{126BE109-959B-480F-842E-7874A8088742}" showPageBreaks="1" fitToPage="1" topLeftCell="A22">
      <selection activeCell="D27" sqref="D27"/>
      <pageMargins left="0.25" right="0.25" top="0.75" bottom="0.75" header="0.3" footer="0.3"/>
      <pageSetup orientation="portrait" r:id="rId1"/>
    </customSheetView>
    <customSheetView guid="{0B0B99EA-567A-4367-98D1-8FEBFA28A824}" fitToPage="1" topLeftCell="A22">
      <selection activeCell="D27" sqref="D27"/>
      <pageMargins left="0.25" right="0.25" top="0.75" bottom="0.75" header="0.3" footer="0.3"/>
      <pageSetup orientation="portrait" r:id="rId2"/>
    </customSheetView>
  </customSheetViews>
  <mergeCells count="5">
    <mergeCell ref="D11:E11"/>
    <mergeCell ref="D13:E13"/>
    <mergeCell ref="D14:E14"/>
    <mergeCell ref="B19:E19"/>
    <mergeCell ref="B23:E23"/>
  </mergeCells>
  <pageMargins left="0.25" right="0.25" top="0.75" bottom="0.75" header="0.3" footer="0.3"/>
  <pageSetup orientation="portrait" horizontalDpi="1200" verticalDpi="1200" r:id="rId3"/>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C00-000000000000}">
  <sheetPr>
    <tabColor theme="9"/>
    <pageSetUpPr fitToPage="1"/>
  </sheetPr>
  <dimension ref="B2:F31"/>
  <sheetViews>
    <sheetView workbookViewId="0">
      <selection activeCell="G19" sqref="G19"/>
    </sheetView>
  </sheetViews>
  <sheetFormatPr defaultRowHeight="14.4" x14ac:dyDescent="0.3"/>
  <cols>
    <col min="1" max="1" width="5.5546875" customWidth="1"/>
    <col min="2" max="2" width="23.33203125" customWidth="1"/>
    <col min="3" max="3" width="7.33203125" customWidth="1"/>
    <col min="4" max="4" width="49.33203125" customWidth="1"/>
    <col min="5" max="5" width="4.33203125" customWidth="1"/>
    <col min="6" max="6" width="11.6640625" customWidth="1"/>
    <col min="7" max="7" width="11.5546875" customWidth="1"/>
    <col min="8" max="8" width="12.33203125" customWidth="1"/>
    <col min="9" max="9" width="17.33203125" customWidth="1"/>
    <col min="10" max="10" width="9" customWidth="1"/>
    <col min="11" max="12" width="11.33203125" customWidth="1"/>
    <col min="13" max="13" width="7.33203125" customWidth="1"/>
    <col min="14" max="14" width="9.5546875" customWidth="1"/>
    <col min="15" max="15" width="5" customWidth="1"/>
    <col min="16" max="16" width="9.44140625" customWidth="1"/>
    <col min="17" max="17" width="7.33203125" customWidth="1"/>
    <col min="18" max="18" width="4.33203125" customWidth="1"/>
    <col min="19" max="19" width="6.5546875" customWidth="1"/>
    <col min="20" max="20" width="2.6640625" customWidth="1"/>
    <col min="21" max="21" width="3.33203125" customWidth="1"/>
  </cols>
  <sheetData>
    <row r="2" spans="2:6" ht="15.6" x14ac:dyDescent="0.3">
      <c r="B2" s="1" t="s">
        <v>0</v>
      </c>
    </row>
    <row r="3" spans="2:6" ht="15.6" x14ac:dyDescent="0.3">
      <c r="B3" s="1"/>
    </row>
    <row r="4" spans="2:6" ht="15.6" x14ac:dyDescent="0.3">
      <c r="B4" s="3" t="s">
        <v>63</v>
      </c>
    </row>
    <row r="5" spans="2:6" ht="15.6" x14ac:dyDescent="0.3">
      <c r="B5" s="3" t="str">
        <f>"Reporting Date:  " &amp;('Data Entry'!$B$2)</f>
        <v>Reporting Date:  3/1/2026-3/31/2026</v>
      </c>
      <c r="C5" s="3"/>
    </row>
    <row r="6" spans="2:6" ht="15.6" x14ac:dyDescent="0.3">
      <c r="B6" s="3"/>
    </row>
    <row r="8" spans="2:6" ht="15.6" x14ac:dyDescent="0.3">
      <c r="B8" s="4" t="s">
        <v>1</v>
      </c>
      <c r="D8" s="6"/>
      <c r="F8" s="6"/>
    </row>
    <row r="9" spans="2:6" ht="9.75" customHeight="1" x14ac:dyDescent="0.3">
      <c r="B9" s="4"/>
    </row>
    <row r="10" spans="2:6" ht="15.6" x14ac:dyDescent="0.3">
      <c r="B10" s="10" t="s">
        <v>2</v>
      </c>
      <c r="C10" s="2"/>
      <c r="D10" s="7">
        <f>'Data Entry'!$B$4</f>
        <v>46129</v>
      </c>
    </row>
    <row r="11" spans="2:6" ht="15.6" x14ac:dyDescent="0.3">
      <c r="B11" s="8" t="s">
        <v>3</v>
      </c>
      <c r="C11" s="5"/>
      <c r="D11" s="31" t="s">
        <v>20</v>
      </c>
      <c r="E11" s="31"/>
    </row>
    <row r="12" spans="2:6" ht="15.6" x14ac:dyDescent="0.3">
      <c r="B12" s="8" t="s">
        <v>4</v>
      </c>
      <c r="C12" s="5"/>
      <c r="D12" s="5" t="s">
        <v>64</v>
      </c>
    </row>
    <row r="13" spans="2:6" ht="111.75" customHeight="1" x14ac:dyDescent="0.3">
      <c r="B13" s="8" t="s">
        <v>5</v>
      </c>
      <c r="C13" s="5"/>
      <c r="D13" s="32" t="s">
        <v>65</v>
      </c>
      <c r="E13" s="32"/>
    </row>
    <row r="14" spans="2:6" ht="51.75" customHeight="1" x14ac:dyDescent="0.3">
      <c r="B14" s="9" t="s">
        <v>12</v>
      </c>
      <c r="C14" s="8"/>
      <c r="D14" s="32" t="s">
        <v>66</v>
      </c>
      <c r="E14" s="32"/>
    </row>
    <row r="15" spans="2:6" ht="15.6" x14ac:dyDescent="0.3">
      <c r="B15" s="8" t="s">
        <v>6</v>
      </c>
      <c r="C15" s="8"/>
      <c r="D15" s="8" t="s">
        <v>151</v>
      </c>
      <c r="E15" s="17"/>
    </row>
    <row r="16" spans="2:6" ht="15.6" x14ac:dyDescent="0.3">
      <c r="B16" s="8" t="s">
        <v>7</v>
      </c>
      <c r="C16" s="8"/>
      <c r="D16" s="8" t="s">
        <v>8</v>
      </c>
      <c r="E16" s="17"/>
    </row>
    <row r="17" spans="2:5" ht="15.6" x14ac:dyDescent="0.3">
      <c r="B17" s="5"/>
      <c r="C17" s="5"/>
      <c r="D17" s="5"/>
    </row>
    <row r="18" spans="2:5" ht="7.95" customHeight="1" x14ac:dyDescent="0.3">
      <c r="B18" s="2"/>
      <c r="C18" s="2"/>
      <c r="D18" s="2"/>
    </row>
    <row r="19" spans="2:5" ht="81.75" customHeight="1" x14ac:dyDescent="0.3">
      <c r="B19" s="32" t="s">
        <v>163</v>
      </c>
      <c r="C19" s="32"/>
      <c r="D19" s="32"/>
      <c r="E19" s="32"/>
    </row>
    <row r="22" spans="2:5" x14ac:dyDescent="0.3">
      <c r="B22" s="12" t="s">
        <v>9</v>
      </c>
    </row>
    <row r="23" spans="2:5" ht="25.5" customHeight="1" x14ac:dyDescent="0.3">
      <c r="B23" s="33" t="s">
        <v>10</v>
      </c>
      <c r="C23" s="33"/>
      <c r="D23" s="33"/>
      <c r="E23" s="33"/>
    </row>
    <row r="27" spans="2:5" x14ac:dyDescent="0.3">
      <c r="B27" s="13" t="str">
        <f>"Date: " &amp; " " &amp;TEXT('Data Entry'!$B$6, "MMMM DD, YYY")</f>
        <v>Date:  April 17, 2026</v>
      </c>
      <c r="C27" s="14"/>
      <c r="D27" s="11" t="s">
        <v>11</v>
      </c>
    </row>
    <row r="28" spans="2:5" x14ac:dyDescent="0.3">
      <c r="B28" s="11"/>
      <c r="C28" s="11"/>
      <c r="D28" s="11"/>
    </row>
    <row r="29" spans="2:5" x14ac:dyDescent="0.3">
      <c r="B29" s="11"/>
      <c r="C29" s="11"/>
      <c r="D29" s="15"/>
    </row>
    <row r="30" spans="2:5" x14ac:dyDescent="0.3">
      <c r="B30" s="11"/>
      <c r="C30" s="11"/>
      <c r="D30" s="16" t="str">
        <f>'Data Entry'!$B$7</f>
        <v>Michael Heagerty</v>
      </c>
    </row>
    <row r="31" spans="2:5" x14ac:dyDescent="0.3">
      <c r="B31" s="11"/>
      <c r="C31" s="11"/>
      <c r="D31" s="11" t="str">
        <f>'Data Entry'!$B$8</f>
        <v>Principal</v>
      </c>
    </row>
  </sheetData>
  <customSheetViews>
    <customSheetView guid="{126BE109-959B-480F-842E-7874A8088742}" showPageBreaks="1" fitToPage="1" topLeftCell="A22">
      <selection activeCell="D27" sqref="D27"/>
      <pageMargins left="0.25" right="0.25" top="0.75" bottom="0.75" header="0.3" footer="0.3"/>
      <pageSetup orientation="portrait" horizontalDpi="1200" verticalDpi="1200" r:id="rId1"/>
    </customSheetView>
    <customSheetView guid="{0B0B99EA-567A-4367-98D1-8FEBFA28A824}" fitToPage="1" topLeftCell="A22">
      <selection activeCell="D27" sqref="D27"/>
      <pageMargins left="0.25" right="0.25" top="0.75" bottom="0.75" header="0.3" footer="0.3"/>
      <pageSetup orientation="portrait" horizontalDpi="1200" verticalDpi="1200" r:id="rId2"/>
    </customSheetView>
  </customSheetViews>
  <mergeCells count="5">
    <mergeCell ref="D11:E11"/>
    <mergeCell ref="D13:E13"/>
    <mergeCell ref="D14:E14"/>
    <mergeCell ref="B19:E19"/>
    <mergeCell ref="B23:E23"/>
  </mergeCells>
  <pageMargins left="0.25" right="0.25" top="0.75" bottom="0.75" header="0.3" footer="0.3"/>
  <pageSetup orientation="portrait" horizontalDpi="1200" verticalDpi="1200" r:id="rId3"/>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B12E8A5-547A-48A7-8C46-E7110F20910F}">
  <sheetPr>
    <tabColor theme="9"/>
    <pageSetUpPr fitToPage="1"/>
  </sheetPr>
  <dimension ref="B2:F31"/>
  <sheetViews>
    <sheetView workbookViewId="0">
      <selection activeCell="G19" sqref="G19"/>
    </sheetView>
  </sheetViews>
  <sheetFormatPr defaultRowHeight="14.4" x14ac:dyDescent="0.3"/>
  <cols>
    <col min="1" max="1" width="5.6640625" customWidth="1"/>
    <col min="2" max="2" width="23.33203125" customWidth="1"/>
    <col min="3" max="3" width="11.33203125" customWidth="1"/>
    <col min="4" max="4" width="46.33203125" customWidth="1"/>
    <col min="5" max="5" width="12.6640625" hidden="1" customWidth="1"/>
    <col min="6" max="6" width="11.6640625" customWidth="1"/>
    <col min="7" max="7" width="11.5546875" customWidth="1"/>
    <col min="8" max="8" width="12.33203125" customWidth="1"/>
    <col min="9" max="9" width="17.33203125" customWidth="1"/>
    <col min="10" max="10" width="9" customWidth="1"/>
    <col min="11" max="12" width="11.33203125" customWidth="1"/>
    <col min="13" max="13" width="7.33203125" customWidth="1"/>
    <col min="14" max="14" width="9.5546875" customWidth="1"/>
    <col min="15" max="15" width="5" customWidth="1"/>
    <col min="16" max="16" width="9.44140625" customWidth="1"/>
    <col min="17" max="17" width="7.33203125" customWidth="1"/>
    <col min="18" max="18" width="4.33203125" customWidth="1"/>
    <col min="19" max="19" width="6.5546875" customWidth="1"/>
    <col min="20" max="20" width="2.6640625" customWidth="1"/>
    <col min="21" max="21" width="3.33203125" customWidth="1"/>
  </cols>
  <sheetData>
    <row r="2" spans="2:6" ht="15.6" x14ac:dyDescent="0.3">
      <c r="B2" s="1" t="s">
        <v>0</v>
      </c>
    </row>
    <row r="3" spans="2:6" ht="15.6" x14ac:dyDescent="0.3">
      <c r="B3" s="1"/>
    </row>
    <row r="4" spans="2:6" ht="15.6" x14ac:dyDescent="0.3">
      <c r="B4" s="3" t="s">
        <v>71</v>
      </c>
    </row>
    <row r="5" spans="2:6" ht="15.6" x14ac:dyDescent="0.3">
      <c r="B5" s="3" t="str">
        <f>"Reporting Date:  " &amp;('Data Entry'!$B$2)</f>
        <v>Reporting Date:  3/1/2026-3/31/2026</v>
      </c>
      <c r="C5" s="3"/>
    </row>
    <row r="6" spans="2:6" ht="15.6" x14ac:dyDescent="0.3">
      <c r="B6" s="3"/>
    </row>
    <row r="8" spans="2:6" ht="15.6" x14ac:dyDescent="0.3">
      <c r="B8" s="4" t="s">
        <v>1</v>
      </c>
      <c r="D8" s="6"/>
      <c r="F8" s="6"/>
    </row>
    <row r="9" spans="2:6" ht="9.75" customHeight="1" x14ac:dyDescent="0.3">
      <c r="B9" s="4"/>
    </row>
    <row r="10" spans="2:6" ht="15.6" x14ac:dyDescent="0.3">
      <c r="B10" s="10" t="s">
        <v>2</v>
      </c>
      <c r="C10" s="2"/>
      <c r="D10" s="7">
        <f>'Data Entry'!$B$4</f>
        <v>46129</v>
      </c>
    </row>
    <row r="11" spans="2:6" ht="15.6" x14ac:dyDescent="0.3">
      <c r="B11" s="8" t="s">
        <v>3</v>
      </c>
      <c r="C11" s="5"/>
      <c r="D11" s="31" t="s">
        <v>17</v>
      </c>
      <c r="E11" s="31"/>
    </row>
    <row r="12" spans="2:6" ht="15.6" x14ac:dyDescent="0.3">
      <c r="B12" s="8" t="s">
        <v>4</v>
      </c>
      <c r="C12" s="5"/>
      <c r="D12" s="5" t="s">
        <v>72</v>
      </c>
    </row>
    <row r="13" spans="2:6" ht="160.5" customHeight="1" x14ac:dyDescent="0.3">
      <c r="B13" s="8" t="s">
        <v>5</v>
      </c>
      <c r="C13" s="5"/>
      <c r="D13" s="32" t="s">
        <v>80</v>
      </c>
      <c r="E13" s="32"/>
    </row>
    <row r="14" spans="2:6" ht="51.75" customHeight="1" x14ac:dyDescent="0.3">
      <c r="B14" s="9" t="s">
        <v>12</v>
      </c>
      <c r="C14" s="8"/>
      <c r="D14" s="32" t="s">
        <v>73</v>
      </c>
      <c r="E14" s="32"/>
    </row>
    <row r="15" spans="2:6" ht="15.6" x14ac:dyDescent="0.3">
      <c r="B15" s="8" t="s">
        <v>6</v>
      </c>
      <c r="C15" s="8"/>
      <c r="D15" s="8" t="s">
        <v>151</v>
      </c>
      <c r="E15" s="17"/>
    </row>
    <row r="16" spans="2:6" ht="15.6" x14ac:dyDescent="0.3">
      <c r="B16" s="8" t="s">
        <v>7</v>
      </c>
      <c r="C16" s="8"/>
      <c r="D16" s="8" t="s">
        <v>8</v>
      </c>
      <c r="E16" s="17"/>
    </row>
    <row r="17" spans="2:5" ht="15.6" x14ac:dyDescent="0.3">
      <c r="B17" s="5"/>
      <c r="C17" s="5"/>
      <c r="D17" s="5"/>
    </row>
    <row r="18" spans="2:5" ht="38.25" customHeight="1" x14ac:dyDescent="0.3">
      <c r="B18" s="2"/>
      <c r="C18" s="2"/>
      <c r="D18" s="2"/>
    </row>
    <row r="19" spans="2:5" ht="87.75" customHeight="1" x14ac:dyDescent="0.3">
      <c r="B19" s="32" t="s">
        <v>165</v>
      </c>
      <c r="C19" s="32"/>
      <c r="D19" s="32"/>
      <c r="E19" s="32"/>
    </row>
    <row r="22" spans="2:5" x14ac:dyDescent="0.3">
      <c r="B22" s="12" t="s">
        <v>9</v>
      </c>
    </row>
    <row r="23" spans="2:5" ht="25.5" customHeight="1" x14ac:dyDescent="0.3">
      <c r="B23" s="33" t="s">
        <v>10</v>
      </c>
      <c r="C23" s="33"/>
      <c r="D23" s="33"/>
      <c r="E23" s="33"/>
    </row>
    <row r="27" spans="2:5" x14ac:dyDescent="0.3">
      <c r="B27" s="13" t="str">
        <f>"Date: " &amp; " " &amp;TEXT('Data Entry'!$B$6, "MMMM DD, YYY")</f>
        <v>Date:  April 17, 2026</v>
      </c>
      <c r="C27" s="14"/>
      <c r="D27" s="11" t="s">
        <v>11</v>
      </c>
    </row>
    <row r="28" spans="2:5" x14ac:dyDescent="0.3">
      <c r="B28" s="11"/>
      <c r="C28" s="11"/>
      <c r="D28" s="11"/>
    </row>
    <row r="29" spans="2:5" x14ac:dyDescent="0.3">
      <c r="B29" s="11"/>
      <c r="C29" s="11"/>
      <c r="D29" s="15"/>
    </row>
    <row r="30" spans="2:5" x14ac:dyDescent="0.3">
      <c r="B30" s="11"/>
      <c r="C30" s="11"/>
      <c r="D30" s="16" t="str">
        <f>'Data Entry'!$B$7</f>
        <v>Michael Heagerty</v>
      </c>
    </row>
    <row r="31" spans="2:5" x14ac:dyDescent="0.3">
      <c r="B31" s="11"/>
      <c r="C31" s="11"/>
      <c r="D31" s="11" t="str">
        <f>'Data Entry'!$B$8</f>
        <v>Principal</v>
      </c>
    </row>
  </sheetData>
  <customSheetViews>
    <customSheetView guid="{126BE109-959B-480F-842E-7874A8088742}" showPageBreaks="1" fitToPage="1" hiddenColumns="1" topLeftCell="A19">
      <selection activeCell="D27" sqref="D27"/>
      <pageMargins left="0.25" right="0.25" top="0.75" bottom="0.75" header="0.3" footer="0.3"/>
      <pageSetup scale="94" orientation="portrait" horizontalDpi="1200" verticalDpi="1200" r:id="rId1"/>
    </customSheetView>
    <customSheetView guid="{0B0B99EA-567A-4367-98D1-8FEBFA28A824}" fitToPage="1" hiddenColumns="1" topLeftCell="A19">
      <selection activeCell="D27" sqref="D27"/>
      <pageMargins left="0.25" right="0.25" top="0.75" bottom="0.75" header="0.3" footer="0.3"/>
      <pageSetup scale="94" orientation="portrait" horizontalDpi="1200" verticalDpi="1200" r:id="rId2"/>
    </customSheetView>
  </customSheetViews>
  <mergeCells count="5">
    <mergeCell ref="D11:E11"/>
    <mergeCell ref="D13:E13"/>
    <mergeCell ref="D14:E14"/>
    <mergeCell ref="B19:E19"/>
    <mergeCell ref="B23:E23"/>
  </mergeCells>
  <pageMargins left="0.25" right="0.25" top="0.75" bottom="0.75" header="0.3" footer="0.3"/>
  <pageSetup scale="94" orientation="portrait" horizontalDpi="1200" verticalDpi="1200" r:id="rId3"/>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71ACA2E-5363-44DC-8E44-4D87C7CBBCA8}">
  <sheetPr>
    <tabColor theme="9"/>
    <pageSetUpPr fitToPage="1"/>
  </sheetPr>
  <dimension ref="B2:F31"/>
  <sheetViews>
    <sheetView workbookViewId="0">
      <selection activeCell="G19" sqref="G19"/>
    </sheetView>
  </sheetViews>
  <sheetFormatPr defaultRowHeight="14.4" x14ac:dyDescent="0.3"/>
  <cols>
    <col min="1" max="1" width="5.6640625" customWidth="1"/>
    <col min="2" max="2" width="23.33203125" customWidth="1"/>
    <col min="3" max="3" width="11.33203125" customWidth="1"/>
    <col min="4" max="4" width="46.33203125" customWidth="1"/>
    <col min="5" max="5" width="12.6640625" hidden="1" customWidth="1"/>
    <col min="6" max="6" width="11.6640625" customWidth="1"/>
    <col min="7" max="7" width="11.5546875" customWidth="1"/>
    <col min="8" max="8" width="12.33203125" customWidth="1"/>
    <col min="9" max="9" width="17.33203125" customWidth="1"/>
    <col min="10" max="10" width="9" customWidth="1"/>
    <col min="11" max="12" width="11.33203125" customWidth="1"/>
    <col min="13" max="13" width="7.33203125" customWidth="1"/>
    <col min="14" max="14" width="9.5546875" customWidth="1"/>
    <col min="15" max="15" width="5" customWidth="1"/>
    <col min="16" max="16" width="9.44140625" customWidth="1"/>
    <col min="17" max="17" width="7.33203125" customWidth="1"/>
    <col min="18" max="18" width="4.33203125" customWidth="1"/>
    <col min="19" max="19" width="6.5546875" customWidth="1"/>
    <col min="20" max="20" width="2.6640625" customWidth="1"/>
    <col min="21" max="21" width="3.33203125" customWidth="1"/>
  </cols>
  <sheetData>
    <row r="2" spans="2:6" ht="15.6" x14ac:dyDescent="0.3">
      <c r="B2" s="1" t="s">
        <v>0</v>
      </c>
    </row>
    <row r="3" spans="2:6" ht="15.6" x14ac:dyDescent="0.3">
      <c r="B3" s="1"/>
    </row>
    <row r="4" spans="2:6" ht="15.6" x14ac:dyDescent="0.3">
      <c r="B4" s="3" t="s">
        <v>78</v>
      </c>
    </row>
    <row r="5" spans="2:6" ht="15.6" x14ac:dyDescent="0.3">
      <c r="B5" s="3" t="str">
        <f>"Reporting Date:  " &amp;('Data Entry'!$B$2)</f>
        <v>Reporting Date:  3/1/2026-3/31/2026</v>
      </c>
      <c r="C5" s="3"/>
    </row>
    <row r="6" spans="2:6" ht="15.6" x14ac:dyDescent="0.3">
      <c r="B6" s="3"/>
    </row>
    <row r="8" spans="2:6" ht="15.6" x14ac:dyDescent="0.3">
      <c r="B8" s="4" t="s">
        <v>1</v>
      </c>
      <c r="D8" s="6"/>
      <c r="F8" s="6"/>
    </row>
    <row r="9" spans="2:6" ht="9.75" customHeight="1" x14ac:dyDescent="0.3">
      <c r="B9" s="4"/>
    </row>
    <row r="10" spans="2:6" ht="15.6" x14ac:dyDescent="0.3">
      <c r="B10" s="10" t="s">
        <v>2</v>
      </c>
      <c r="C10" s="2"/>
      <c r="D10" s="7">
        <f>'Data Entry'!$B$4</f>
        <v>46129</v>
      </c>
    </row>
    <row r="11" spans="2:6" ht="15.6" x14ac:dyDescent="0.3">
      <c r="B11" s="8" t="s">
        <v>3</v>
      </c>
      <c r="C11" s="5"/>
      <c r="D11" s="31" t="s">
        <v>17</v>
      </c>
      <c r="E11" s="31"/>
    </row>
    <row r="12" spans="2:6" ht="15.6" x14ac:dyDescent="0.3">
      <c r="B12" s="8" t="s">
        <v>4</v>
      </c>
      <c r="C12" s="5"/>
      <c r="D12" s="5" t="s">
        <v>79</v>
      </c>
    </row>
    <row r="13" spans="2:6" ht="142.5" customHeight="1" x14ac:dyDescent="0.3">
      <c r="B13" s="8" t="s">
        <v>5</v>
      </c>
      <c r="C13" s="5"/>
      <c r="D13" s="32" t="s">
        <v>81</v>
      </c>
      <c r="E13" s="32"/>
    </row>
    <row r="14" spans="2:6" ht="51.75" customHeight="1" x14ac:dyDescent="0.3">
      <c r="B14" s="9" t="s">
        <v>12</v>
      </c>
      <c r="C14" s="8"/>
      <c r="D14" s="32" t="s">
        <v>82</v>
      </c>
      <c r="E14" s="32"/>
    </row>
    <row r="15" spans="2:6" ht="15.6" x14ac:dyDescent="0.3">
      <c r="B15" s="8" t="s">
        <v>6</v>
      </c>
      <c r="C15" s="8"/>
      <c r="D15" s="8" t="s">
        <v>151</v>
      </c>
      <c r="E15" s="17"/>
    </row>
    <row r="16" spans="2:6" ht="15.6" x14ac:dyDescent="0.3">
      <c r="B16" s="8" t="s">
        <v>7</v>
      </c>
      <c r="C16" s="8"/>
      <c r="D16" s="8" t="s">
        <v>8</v>
      </c>
      <c r="E16" s="17"/>
    </row>
    <row r="17" spans="2:5" ht="15.6" x14ac:dyDescent="0.3">
      <c r="B17" s="5"/>
      <c r="C17" s="5"/>
      <c r="D17" s="5"/>
    </row>
    <row r="18" spans="2:5" ht="15.75" customHeight="1" x14ac:dyDescent="0.3">
      <c r="B18" s="2"/>
      <c r="C18" s="2"/>
      <c r="D18" s="2"/>
    </row>
    <row r="19" spans="2:5" ht="87.75" customHeight="1" x14ac:dyDescent="0.3">
      <c r="B19" s="32" t="s">
        <v>167</v>
      </c>
      <c r="C19" s="32"/>
      <c r="D19" s="32"/>
      <c r="E19" s="32"/>
    </row>
    <row r="20" spans="2:5" ht="6" customHeight="1" x14ac:dyDescent="0.3"/>
    <row r="21" spans="2:5" ht="23.25" customHeight="1" x14ac:dyDescent="0.3"/>
    <row r="22" spans="2:5" x14ac:dyDescent="0.3">
      <c r="B22" s="12" t="s">
        <v>9</v>
      </c>
    </row>
    <row r="23" spans="2:5" ht="25.5" customHeight="1" x14ac:dyDescent="0.3">
      <c r="B23" s="33" t="s">
        <v>10</v>
      </c>
      <c r="C23" s="33"/>
      <c r="D23" s="33"/>
      <c r="E23" s="33"/>
    </row>
    <row r="25" spans="2:5" ht="7.5" customHeight="1" x14ac:dyDescent="0.3"/>
    <row r="26" spans="2:5" ht="3.75" customHeight="1" x14ac:dyDescent="0.3"/>
    <row r="27" spans="2:5" x14ac:dyDescent="0.3">
      <c r="B27" s="13" t="str">
        <f>"Date: " &amp; " " &amp;TEXT('Data Entry'!$B$6, "MMMM DD, YYY")</f>
        <v>Date:  April 17, 2026</v>
      </c>
      <c r="C27" s="14"/>
      <c r="D27" s="11" t="s">
        <v>11</v>
      </c>
    </row>
    <row r="28" spans="2:5" x14ac:dyDescent="0.3">
      <c r="B28" s="11"/>
      <c r="C28" s="11"/>
      <c r="D28" s="11"/>
    </row>
    <row r="29" spans="2:5" x14ac:dyDescent="0.3">
      <c r="B29" s="11"/>
      <c r="C29" s="11"/>
      <c r="D29" s="15"/>
    </row>
    <row r="30" spans="2:5" x14ac:dyDescent="0.3">
      <c r="B30" s="11"/>
      <c r="C30" s="11"/>
      <c r="D30" s="16" t="str">
        <f>'Data Entry'!$B$7</f>
        <v>Michael Heagerty</v>
      </c>
    </row>
    <row r="31" spans="2:5" x14ac:dyDescent="0.3">
      <c r="B31" s="11"/>
      <c r="C31" s="11"/>
      <c r="D31" s="11" t="str">
        <f>'Data Entry'!$B$8</f>
        <v>Principal</v>
      </c>
    </row>
  </sheetData>
  <customSheetViews>
    <customSheetView guid="{126BE109-959B-480F-842E-7874A8088742}" showPageBreaks="1" fitToPage="1" hiddenColumns="1" topLeftCell="A25">
      <selection activeCell="D27" sqref="D27"/>
      <pageMargins left="0.25" right="0.25" top="0.75" bottom="0.75" header="0.3" footer="0.3"/>
      <pageSetup orientation="portrait" horizontalDpi="1200" verticalDpi="1200" r:id="rId1"/>
    </customSheetView>
    <customSheetView guid="{0B0B99EA-567A-4367-98D1-8FEBFA28A824}" fitToPage="1" hiddenColumns="1" topLeftCell="A25">
      <selection activeCell="D27" sqref="D27"/>
      <pageMargins left="0.25" right="0.25" top="0.75" bottom="0.75" header="0.3" footer="0.3"/>
      <pageSetup orientation="portrait" horizontalDpi="1200" verticalDpi="1200" r:id="rId2"/>
    </customSheetView>
  </customSheetViews>
  <mergeCells count="5">
    <mergeCell ref="D11:E11"/>
    <mergeCell ref="D13:E13"/>
    <mergeCell ref="D14:E14"/>
    <mergeCell ref="B19:E19"/>
    <mergeCell ref="B23:E23"/>
  </mergeCells>
  <pageMargins left="0.25" right="0.25" top="0.75" bottom="0.75" header="0.3" footer="0.3"/>
  <pageSetup orientation="portrait" horizontalDpi="1200" verticalDpi="1200" r:id="rId3"/>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AE81AC9-2DB9-4B6D-A2EA-D016FDAD66D8}">
  <sheetPr>
    <tabColor theme="9"/>
    <pageSetUpPr fitToPage="1"/>
  </sheetPr>
  <dimension ref="B2:F31"/>
  <sheetViews>
    <sheetView workbookViewId="0">
      <selection activeCell="G19" sqref="G19"/>
    </sheetView>
  </sheetViews>
  <sheetFormatPr defaultRowHeight="14.4" x14ac:dyDescent="0.3"/>
  <cols>
    <col min="1" max="1" width="5.6640625" customWidth="1"/>
    <col min="2" max="2" width="23.33203125" customWidth="1"/>
    <col min="3" max="3" width="11.33203125" customWidth="1"/>
    <col min="4" max="4" width="46.33203125" customWidth="1"/>
    <col min="5" max="5" width="12.6640625" hidden="1" customWidth="1"/>
    <col min="6" max="6" width="11.6640625" customWidth="1"/>
    <col min="7" max="7" width="11.5546875" customWidth="1"/>
    <col min="8" max="8" width="12.33203125" customWidth="1"/>
    <col min="9" max="9" width="17.33203125" customWidth="1"/>
    <col min="10" max="10" width="9" customWidth="1"/>
    <col min="11" max="12" width="11.33203125" customWidth="1"/>
    <col min="13" max="13" width="7.33203125" customWidth="1"/>
    <col min="14" max="14" width="9.5546875" customWidth="1"/>
    <col min="15" max="15" width="5" customWidth="1"/>
    <col min="16" max="16" width="9.44140625" customWidth="1"/>
    <col min="17" max="17" width="7.33203125" customWidth="1"/>
    <col min="18" max="18" width="4.33203125" customWidth="1"/>
    <col min="19" max="19" width="6.5546875" customWidth="1"/>
    <col min="20" max="20" width="2.6640625" customWidth="1"/>
    <col min="21" max="21" width="3.33203125" customWidth="1"/>
  </cols>
  <sheetData>
    <row r="2" spans="2:6" ht="15.6" x14ac:dyDescent="0.3">
      <c r="B2" s="1" t="s">
        <v>0</v>
      </c>
    </row>
    <row r="3" spans="2:6" ht="15.6" x14ac:dyDescent="0.3">
      <c r="B3" s="1"/>
    </row>
    <row r="4" spans="2:6" ht="15.6" x14ac:dyDescent="0.3">
      <c r="B4" s="3" t="s">
        <v>92</v>
      </c>
    </row>
    <row r="5" spans="2:6" ht="15.6" x14ac:dyDescent="0.3">
      <c r="B5" s="3" t="str">
        <f>"Reporting Date:  " &amp;('Data Entry'!$B$2)</f>
        <v>Reporting Date:  3/1/2026-3/31/2026</v>
      </c>
      <c r="C5" s="3"/>
    </row>
    <row r="6" spans="2:6" ht="15.6" x14ac:dyDescent="0.3">
      <c r="B6" s="3"/>
    </row>
    <row r="8" spans="2:6" ht="15.6" x14ac:dyDescent="0.3">
      <c r="B8" s="4" t="s">
        <v>1</v>
      </c>
      <c r="D8" s="6"/>
      <c r="F8" s="6"/>
    </row>
    <row r="9" spans="2:6" ht="9.75" customHeight="1" x14ac:dyDescent="0.3">
      <c r="B9" s="4"/>
    </row>
    <row r="10" spans="2:6" ht="15.6" x14ac:dyDescent="0.3">
      <c r="B10" s="10" t="s">
        <v>2</v>
      </c>
      <c r="C10" s="2"/>
      <c r="D10" s="7">
        <f>'Data Entry'!$B$4</f>
        <v>46129</v>
      </c>
    </row>
    <row r="11" spans="2:6" ht="15.6" x14ac:dyDescent="0.3">
      <c r="B11" s="8" t="s">
        <v>3</v>
      </c>
      <c r="C11" s="5"/>
      <c r="D11" s="31" t="s">
        <v>17</v>
      </c>
      <c r="E11" s="31"/>
    </row>
    <row r="12" spans="2:6" ht="15.6" x14ac:dyDescent="0.3">
      <c r="B12" s="8" t="s">
        <v>4</v>
      </c>
      <c r="C12" s="5"/>
      <c r="D12" s="5" t="s">
        <v>93</v>
      </c>
    </row>
    <row r="13" spans="2:6" ht="162" customHeight="1" x14ac:dyDescent="0.3">
      <c r="B13" s="8" t="s">
        <v>5</v>
      </c>
      <c r="C13" s="5"/>
      <c r="D13" s="32" t="s">
        <v>94</v>
      </c>
      <c r="E13" s="32"/>
    </row>
    <row r="14" spans="2:6" ht="51.75" customHeight="1" x14ac:dyDescent="0.3">
      <c r="B14" s="9" t="s">
        <v>12</v>
      </c>
      <c r="C14" s="8"/>
      <c r="D14" s="32" t="s">
        <v>95</v>
      </c>
      <c r="E14" s="32"/>
    </row>
    <row r="15" spans="2:6" ht="15.6" x14ac:dyDescent="0.3">
      <c r="B15" s="8" t="s">
        <v>6</v>
      </c>
      <c r="C15" s="8"/>
      <c r="D15" s="8" t="s">
        <v>151</v>
      </c>
      <c r="E15" s="17"/>
    </row>
    <row r="16" spans="2:6" ht="15.6" x14ac:dyDescent="0.3">
      <c r="B16" s="8" t="s">
        <v>7</v>
      </c>
      <c r="C16" s="8"/>
      <c r="D16" s="8" t="s">
        <v>8</v>
      </c>
      <c r="E16" s="17"/>
    </row>
    <row r="17" spans="2:5" ht="15.6" x14ac:dyDescent="0.3">
      <c r="B17" s="5"/>
      <c r="C17" s="5"/>
      <c r="D17" s="5"/>
    </row>
    <row r="18" spans="2:5" ht="15.75" customHeight="1" x14ac:dyDescent="0.3">
      <c r="B18" s="2"/>
      <c r="C18" s="2"/>
      <c r="D18" s="2"/>
    </row>
    <row r="19" spans="2:5" ht="87.75" customHeight="1" x14ac:dyDescent="0.3">
      <c r="B19" s="32" t="s">
        <v>168</v>
      </c>
      <c r="C19" s="32"/>
      <c r="D19" s="32"/>
      <c r="E19" s="32"/>
    </row>
    <row r="20" spans="2:5" ht="6" customHeight="1" x14ac:dyDescent="0.3"/>
    <row r="21" spans="2:5" ht="23.25" customHeight="1" x14ac:dyDescent="0.3"/>
    <row r="22" spans="2:5" x14ac:dyDescent="0.3">
      <c r="B22" s="12" t="s">
        <v>9</v>
      </c>
    </row>
    <row r="23" spans="2:5" ht="25.5" customHeight="1" x14ac:dyDescent="0.3">
      <c r="B23" s="33" t="s">
        <v>10</v>
      </c>
      <c r="C23" s="33"/>
      <c r="D23" s="33"/>
      <c r="E23" s="33"/>
    </row>
    <row r="25" spans="2:5" ht="7.5" customHeight="1" x14ac:dyDescent="0.3"/>
    <row r="26" spans="2:5" ht="3.75" customHeight="1" x14ac:dyDescent="0.3"/>
    <row r="27" spans="2:5" x14ac:dyDescent="0.3">
      <c r="B27" s="13" t="str">
        <f>"Date: " &amp; " " &amp;TEXT('Data Entry'!$B$6, "MMMM DD, YYY")</f>
        <v>Date:  April 17, 2026</v>
      </c>
      <c r="C27" s="14"/>
      <c r="D27" s="11" t="s">
        <v>11</v>
      </c>
    </row>
    <row r="28" spans="2:5" x14ac:dyDescent="0.3">
      <c r="B28" s="11"/>
      <c r="C28" s="11"/>
      <c r="D28" s="11"/>
    </row>
    <row r="29" spans="2:5" x14ac:dyDescent="0.3">
      <c r="B29" s="11"/>
      <c r="C29" s="11"/>
      <c r="D29" s="15"/>
    </row>
    <row r="30" spans="2:5" x14ac:dyDescent="0.3">
      <c r="B30" s="11"/>
      <c r="C30" s="11"/>
      <c r="D30" s="16" t="str">
        <f>'Data Entry'!$B$7</f>
        <v>Michael Heagerty</v>
      </c>
    </row>
    <row r="31" spans="2:5" x14ac:dyDescent="0.3">
      <c r="B31" s="11"/>
      <c r="C31" s="11"/>
      <c r="D31" s="11" t="str">
        <f>'Data Entry'!$B$8</f>
        <v>Principal</v>
      </c>
    </row>
  </sheetData>
  <customSheetViews>
    <customSheetView guid="{126BE109-959B-480F-842E-7874A8088742}" showPageBreaks="1" fitToPage="1" hiddenColumns="1" topLeftCell="A16">
      <selection activeCell="D27" sqref="D27"/>
      <pageMargins left="0.7" right="0.7" top="0.75" bottom="0.75" header="0.3" footer="0.3"/>
      <pageSetup scale="99" orientation="portrait" horizontalDpi="1200" verticalDpi="1200" r:id="rId1"/>
    </customSheetView>
    <customSheetView guid="{0B0B99EA-567A-4367-98D1-8FEBFA28A824}" fitToPage="1" hiddenColumns="1" topLeftCell="A16">
      <selection activeCell="D27" sqref="D27"/>
      <pageMargins left="0.7" right="0.7" top="0.75" bottom="0.75" header="0.3" footer="0.3"/>
      <pageSetup scale="99" orientation="portrait" horizontalDpi="1200" verticalDpi="1200" r:id="rId2"/>
    </customSheetView>
  </customSheetViews>
  <mergeCells count="5">
    <mergeCell ref="D11:E11"/>
    <mergeCell ref="D13:E13"/>
    <mergeCell ref="D14:E14"/>
    <mergeCell ref="B19:E19"/>
    <mergeCell ref="B23:E23"/>
  </mergeCells>
  <pageMargins left="0.25" right="0.25" top="0.75" bottom="0.75" header="0.3" footer="0.3"/>
  <pageSetup scale="99" orientation="portrait" horizontalDpi="1200" verticalDpi="1200" r:id="rId3"/>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B18EE7D-C843-486B-977D-186AB4FD7683}">
  <sheetPr>
    <tabColor theme="9"/>
    <pageSetUpPr fitToPage="1"/>
  </sheetPr>
  <dimension ref="B2:F31"/>
  <sheetViews>
    <sheetView workbookViewId="0">
      <selection activeCell="D10" sqref="D10"/>
    </sheetView>
  </sheetViews>
  <sheetFormatPr defaultRowHeight="14.4" x14ac:dyDescent="0.3"/>
  <cols>
    <col min="1" max="1" width="5.6640625" customWidth="1"/>
    <col min="2" max="2" width="23.33203125" customWidth="1"/>
    <col min="3" max="3" width="11.33203125" customWidth="1"/>
    <col min="4" max="4" width="46.33203125" customWidth="1"/>
    <col min="5" max="5" width="12.6640625" hidden="1" customWidth="1"/>
    <col min="6" max="6" width="11.6640625" customWidth="1"/>
    <col min="7" max="7" width="11.5546875" customWidth="1"/>
    <col min="8" max="8" width="12.33203125" customWidth="1"/>
    <col min="9" max="9" width="17.33203125" customWidth="1"/>
    <col min="10" max="10" width="9" customWidth="1"/>
    <col min="11" max="12" width="11.33203125" customWidth="1"/>
    <col min="13" max="13" width="7.33203125" customWidth="1"/>
    <col min="14" max="14" width="9.5546875" customWidth="1"/>
    <col min="15" max="15" width="5" customWidth="1"/>
    <col min="16" max="16" width="9.44140625" customWidth="1"/>
    <col min="17" max="17" width="7.33203125" customWidth="1"/>
    <col min="18" max="18" width="4.33203125" customWidth="1"/>
    <col min="19" max="19" width="6.5546875" customWidth="1"/>
    <col min="20" max="20" width="2.6640625" customWidth="1"/>
    <col min="21" max="21" width="3.33203125" customWidth="1"/>
  </cols>
  <sheetData>
    <row r="2" spans="2:6" ht="15.6" x14ac:dyDescent="0.3">
      <c r="B2" s="1" t="s">
        <v>0</v>
      </c>
    </row>
    <row r="3" spans="2:6" ht="15.6" x14ac:dyDescent="0.3">
      <c r="B3" s="1"/>
    </row>
    <row r="4" spans="2:6" ht="15.6" x14ac:dyDescent="0.3">
      <c r="B4" s="3" t="s">
        <v>103</v>
      </c>
    </row>
    <row r="5" spans="2:6" ht="15.6" x14ac:dyDescent="0.3">
      <c r="B5" s="3" t="str">
        <f>"Reporting Date:  " &amp;('Data Entry'!$B$2)</f>
        <v>Reporting Date:  3/1/2026-3/31/2026</v>
      </c>
      <c r="C5" s="3"/>
    </row>
    <row r="6" spans="2:6" ht="15.6" x14ac:dyDescent="0.3">
      <c r="B6" s="3"/>
    </row>
    <row r="8" spans="2:6" ht="15.6" x14ac:dyDescent="0.3">
      <c r="B8" s="4" t="s">
        <v>1</v>
      </c>
      <c r="D8" s="6"/>
      <c r="F8" s="6"/>
    </row>
    <row r="9" spans="2:6" ht="9.75" customHeight="1" x14ac:dyDescent="0.3">
      <c r="B9" s="4"/>
    </row>
    <row r="10" spans="2:6" ht="15.6" x14ac:dyDescent="0.3">
      <c r="B10" s="10" t="s">
        <v>2</v>
      </c>
      <c r="C10" s="2"/>
      <c r="D10" s="7">
        <f>'Data Entry'!$B$4</f>
        <v>46129</v>
      </c>
    </row>
    <row r="11" spans="2:6" ht="15.6" x14ac:dyDescent="0.3">
      <c r="B11" s="8" t="s">
        <v>3</v>
      </c>
      <c r="C11" s="5"/>
      <c r="D11" s="31" t="s">
        <v>104</v>
      </c>
      <c r="E11" s="31"/>
    </row>
    <row r="12" spans="2:6" ht="15.6" x14ac:dyDescent="0.3">
      <c r="B12" s="8" t="s">
        <v>4</v>
      </c>
      <c r="C12" s="5"/>
      <c r="D12" s="5" t="s">
        <v>105</v>
      </c>
    </row>
    <row r="13" spans="2:6" ht="128.25" customHeight="1" x14ac:dyDescent="0.3">
      <c r="B13" s="8" t="s">
        <v>5</v>
      </c>
      <c r="C13" s="5"/>
      <c r="D13" s="32" t="s">
        <v>106</v>
      </c>
      <c r="E13" s="32"/>
    </row>
    <row r="14" spans="2:6" ht="51.75" customHeight="1" x14ac:dyDescent="0.3">
      <c r="B14" s="9" t="s">
        <v>12</v>
      </c>
      <c r="C14" s="8"/>
      <c r="D14" s="32" t="s">
        <v>107</v>
      </c>
      <c r="E14" s="32"/>
    </row>
    <row r="15" spans="2:6" ht="15.6" x14ac:dyDescent="0.3">
      <c r="B15" s="8" t="s">
        <v>6</v>
      </c>
      <c r="C15" s="8"/>
      <c r="D15" s="8" t="s">
        <v>151</v>
      </c>
      <c r="E15" s="17"/>
    </row>
    <row r="16" spans="2:6" ht="15.6" x14ac:dyDescent="0.3">
      <c r="B16" s="8" t="s">
        <v>7</v>
      </c>
      <c r="C16" s="8"/>
      <c r="D16" s="8" t="s">
        <v>8</v>
      </c>
      <c r="E16" s="17"/>
    </row>
    <row r="17" spans="2:5" ht="15.6" x14ac:dyDescent="0.3">
      <c r="B17" s="5"/>
      <c r="C17" s="5"/>
      <c r="D17" s="5"/>
    </row>
    <row r="18" spans="2:5" ht="20.25" customHeight="1" x14ac:dyDescent="0.3">
      <c r="B18" s="2"/>
      <c r="C18" s="2"/>
      <c r="D18" s="2"/>
    </row>
    <row r="19" spans="2:5" ht="81.75" customHeight="1" x14ac:dyDescent="0.3">
      <c r="B19" s="32" t="s">
        <v>170</v>
      </c>
      <c r="C19" s="32"/>
      <c r="D19" s="32"/>
      <c r="E19" s="32"/>
    </row>
    <row r="22" spans="2:5" x14ac:dyDescent="0.3">
      <c r="B22" s="12" t="s">
        <v>9</v>
      </c>
    </row>
    <row r="23" spans="2:5" ht="25.5" customHeight="1" x14ac:dyDescent="0.3">
      <c r="B23" s="33" t="s">
        <v>10</v>
      </c>
      <c r="C23" s="33"/>
      <c r="D23" s="33"/>
      <c r="E23" s="33"/>
    </row>
    <row r="27" spans="2:5" x14ac:dyDescent="0.3">
      <c r="B27" s="13" t="str">
        <f>"Date: " &amp; " " &amp;TEXT('Data Entry'!$B$6, "MMMM DD, YYY")</f>
        <v>Date:  April 17, 2026</v>
      </c>
      <c r="C27" s="14"/>
      <c r="D27" s="11" t="s">
        <v>11</v>
      </c>
    </row>
    <row r="28" spans="2:5" x14ac:dyDescent="0.3">
      <c r="B28" s="11"/>
      <c r="C28" s="11"/>
      <c r="D28" s="11"/>
    </row>
    <row r="29" spans="2:5" x14ac:dyDescent="0.3">
      <c r="B29" s="11"/>
      <c r="C29" s="11"/>
      <c r="D29" s="15"/>
    </row>
    <row r="30" spans="2:5" x14ac:dyDescent="0.3">
      <c r="B30" s="11"/>
      <c r="C30" s="11"/>
      <c r="D30" s="16" t="str">
        <f>'Data Entry'!$B$7</f>
        <v>Michael Heagerty</v>
      </c>
    </row>
    <row r="31" spans="2:5" x14ac:dyDescent="0.3">
      <c r="B31" s="11"/>
      <c r="C31" s="11"/>
      <c r="D31" s="11" t="str">
        <f>'Data Entry'!$B$8</f>
        <v>Principal</v>
      </c>
    </row>
  </sheetData>
  <customSheetViews>
    <customSheetView guid="{126BE109-959B-480F-842E-7874A8088742}" showPageBreaks="1" hiddenColumns="1">
      <selection sqref="A1:XFD1048576"/>
      <pageMargins left="0.7" right="0.7" top="0.75" bottom="0.75" header="0.3" footer="0.3"/>
      <pageSetup orientation="portrait" horizontalDpi="1200" verticalDpi="1200" r:id="rId1"/>
    </customSheetView>
    <customSheetView guid="{0B0B99EA-567A-4367-98D1-8FEBFA28A824}" hiddenColumns="1">
      <selection sqref="A1:XFD1048576"/>
      <pageMargins left="0.7" right="0.7" top="0.75" bottom="0.75" header="0.3" footer="0.3"/>
      <pageSetup orientation="portrait" horizontalDpi="1200" verticalDpi="1200" r:id="rId2"/>
    </customSheetView>
  </customSheetViews>
  <mergeCells count="5">
    <mergeCell ref="D11:E11"/>
    <mergeCell ref="D13:E13"/>
    <mergeCell ref="D14:E14"/>
    <mergeCell ref="B19:E19"/>
    <mergeCell ref="B23:E23"/>
  </mergeCells>
  <pageMargins left="0.25" right="0.25" top="0.75" bottom="0.75" header="0.3" footer="0.3"/>
  <pageSetup orientation="portrait" horizontalDpi="1200" verticalDpi="1200" r:id="rId3"/>
</worksheet>
</file>

<file path=xl/worksheets/sheet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D082662-9480-4EEA-8A09-237EEF8E47E1}">
  <sheetPr>
    <tabColor theme="9"/>
    <pageSetUpPr fitToPage="1"/>
  </sheetPr>
  <dimension ref="B2:F31"/>
  <sheetViews>
    <sheetView workbookViewId="0">
      <selection activeCell="G19" sqref="G19"/>
    </sheetView>
  </sheetViews>
  <sheetFormatPr defaultRowHeight="14.4" x14ac:dyDescent="0.3"/>
  <cols>
    <col min="1" max="1" width="5.6640625" customWidth="1"/>
    <col min="2" max="2" width="23.33203125" customWidth="1"/>
    <col min="3" max="3" width="11.33203125" customWidth="1"/>
    <col min="4" max="4" width="46.33203125" customWidth="1"/>
    <col min="5" max="5" width="12.6640625" hidden="1" customWidth="1"/>
    <col min="6" max="6" width="11.6640625" customWidth="1"/>
    <col min="7" max="7" width="11.5546875" customWidth="1"/>
    <col min="8" max="8" width="12.33203125" customWidth="1"/>
    <col min="9" max="9" width="17.33203125" customWidth="1"/>
    <col min="10" max="10" width="9" customWidth="1"/>
    <col min="11" max="12" width="11.33203125" customWidth="1"/>
    <col min="13" max="13" width="7.33203125" customWidth="1"/>
    <col min="14" max="14" width="9.5546875" customWidth="1"/>
    <col min="15" max="15" width="5" customWidth="1"/>
    <col min="16" max="16" width="9.44140625" customWidth="1"/>
    <col min="17" max="17" width="7.33203125" customWidth="1"/>
    <col min="18" max="18" width="4.33203125" customWidth="1"/>
    <col min="19" max="19" width="6.5546875" customWidth="1"/>
    <col min="20" max="20" width="2.6640625" customWidth="1"/>
    <col min="21" max="21" width="3.33203125" customWidth="1"/>
  </cols>
  <sheetData>
    <row r="2" spans="2:6" ht="15.6" x14ac:dyDescent="0.3">
      <c r="B2" s="1" t="s">
        <v>0</v>
      </c>
    </row>
    <row r="3" spans="2:6" ht="15.6" x14ac:dyDescent="0.3">
      <c r="B3" s="1"/>
    </row>
    <row r="4" spans="2:6" ht="15.6" x14ac:dyDescent="0.3">
      <c r="B4" s="3" t="s">
        <v>108</v>
      </c>
    </row>
    <row r="5" spans="2:6" ht="15.6" x14ac:dyDescent="0.3">
      <c r="B5" s="3" t="str">
        <f>"Reporting Date:  " &amp;('Data Entry'!$B$2)</f>
        <v>Reporting Date:  3/1/2026-3/31/2026</v>
      </c>
      <c r="C5" s="3"/>
    </row>
    <row r="6" spans="2:6" ht="15.6" x14ac:dyDescent="0.3">
      <c r="B6" s="3"/>
    </row>
    <row r="8" spans="2:6" ht="15.6" x14ac:dyDescent="0.3">
      <c r="B8" s="4" t="s">
        <v>1</v>
      </c>
      <c r="D8" s="6"/>
      <c r="F8" s="6"/>
    </row>
    <row r="9" spans="2:6" ht="9.75" customHeight="1" x14ac:dyDescent="0.3">
      <c r="B9" s="4"/>
    </row>
    <row r="10" spans="2:6" ht="15.6" x14ac:dyDescent="0.3">
      <c r="B10" s="10" t="s">
        <v>2</v>
      </c>
      <c r="C10" s="2"/>
      <c r="D10" s="7">
        <f>'Data Entry'!$B$4</f>
        <v>46129</v>
      </c>
    </row>
    <row r="11" spans="2:6" ht="15.6" x14ac:dyDescent="0.3">
      <c r="B11" s="8" t="s">
        <v>3</v>
      </c>
      <c r="C11" s="5"/>
      <c r="D11" s="31" t="s">
        <v>19</v>
      </c>
      <c r="E11" s="31"/>
    </row>
    <row r="12" spans="2:6" ht="15.6" x14ac:dyDescent="0.3">
      <c r="B12" s="8" t="s">
        <v>4</v>
      </c>
      <c r="C12" s="5"/>
      <c r="D12" s="5" t="s">
        <v>110</v>
      </c>
    </row>
    <row r="13" spans="2:6" ht="128.25" customHeight="1" x14ac:dyDescent="0.3">
      <c r="B13" s="8" t="s">
        <v>5</v>
      </c>
      <c r="C13" s="5"/>
      <c r="D13" s="32" t="s">
        <v>111</v>
      </c>
      <c r="E13" s="32"/>
    </row>
    <row r="14" spans="2:6" ht="51.75" customHeight="1" x14ac:dyDescent="0.3">
      <c r="B14" s="9" t="s">
        <v>12</v>
      </c>
      <c r="C14" s="8"/>
      <c r="D14" s="32" t="s">
        <v>112</v>
      </c>
      <c r="E14" s="32"/>
    </row>
    <row r="15" spans="2:6" ht="15.6" x14ac:dyDescent="0.3">
      <c r="B15" s="8" t="s">
        <v>6</v>
      </c>
      <c r="C15" s="8"/>
      <c r="D15" s="8" t="s">
        <v>151</v>
      </c>
      <c r="E15" s="17"/>
    </row>
    <row r="16" spans="2:6" ht="15.6" x14ac:dyDescent="0.3">
      <c r="B16" s="8" t="s">
        <v>7</v>
      </c>
      <c r="C16" s="8"/>
      <c r="D16" s="8" t="s">
        <v>8</v>
      </c>
      <c r="E16" s="17"/>
    </row>
    <row r="17" spans="2:5" ht="15.6" x14ac:dyDescent="0.3">
      <c r="B17" s="5"/>
      <c r="C17" s="5"/>
      <c r="D17" s="5"/>
    </row>
    <row r="18" spans="2:5" ht="20.25" customHeight="1" x14ac:dyDescent="0.3">
      <c r="B18" s="2"/>
      <c r="C18" s="2"/>
      <c r="D18" s="2"/>
    </row>
    <row r="19" spans="2:5" ht="81.75" customHeight="1" x14ac:dyDescent="0.3">
      <c r="B19" s="32" t="s">
        <v>171</v>
      </c>
      <c r="C19" s="32"/>
      <c r="D19" s="32"/>
      <c r="E19" s="32"/>
    </row>
    <row r="22" spans="2:5" x14ac:dyDescent="0.3">
      <c r="B22" s="12" t="s">
        <v>9</v>
      </c>
    </row>
    <row r="23" spans="2:5" ht="25.5" customHeight="1" x14ac:dyDescent="0.3">
      <c r="B23" s="33" t="s">
        <v>10</v>
      </c>
      <c r="C23" s="33"/>
      <c r="D23" s="33"/>
      <c r="E23" s="33"/>
    </row>
    <row r="27" spans="2:5" x14ac:dyDescent="0.3">
      <c r="B27" s="13" t="str">
        <f>"Date: " &amp; " " &amp;TEXT('Data Entry'!$B$6, "MMMM DD, YYY")</f>
        <v>Date:  April 17, 2026</v>
      </c>
      <c r="C27" s="14"/>
      <c r="D27" s="11" t="s">
        <v>11</v>
      </c>
    </row>
    <row r="28" spans="2:5" x14ac:dyDescent="0.3">
      <c r="B28" s="11"/>
      <c r="C28" s="11"/>
      <c r="D28" s="11"/>
    </row>
    <row r="29" spans="2:5" x14ac:dyDescent="0.3">
      <c r="B29" s="11"/>
      <c r="C29" s="11"/>
      <c r="D29" s="15"/>
    </row>
    <row r="30" spans="2:5" x14ac:dyDescent="0.3">
      <c r="B30" s="11"/>
      <c r="C30" s="11"/>
      <c r="D30" s="16" t="str">
        <f>'Data Entry'!$B$7</f>
        <v>Michael Heagerty</v>
      </c>
    </row>
    <row r="31" spans="2:5" x14ac:dyDescent="0.3">
      <c r="B31" s="11"/>
      <c r="C31" s="11"/>
      <c r="D31" s="11" t="str">
        <f>'Data Entry'!$B$8</f>
        <v>Principal</v>
      </c>
    </row>
  </sheetData>
  <customSheetViews>
    <customSheetView guid="{126BE109-959B-480F-842E-7874A8088742}" showPageBreaks="1" hiddenColumns="1">
      <selection activeCell="I8" sqref="I8"/>
      <pageMargins left="0.7" right="0.7" top="0.75" bottom="0.75" header="0.3" footer="0.3"/>
      <pageSetup orientation="portrait" horizontalDpi="1200" verticalDpi="1200" r:id="rId1"/>
    </customSheetView>
    <customSheetView guid="{0B0B99EA-567A-4367-98D1-8FEBFA28A824}" hiddenColumns="1">
      <selection activeCell="I8" sqref="I8"/>
      <pageMargins left="0.7" right="0.7" top="0.75" bottom="0.75" header="0.3" footer="0.3"/>
      <pageSetup orientation="portrait" horizontalDpi="1200" verticalDpi="1200" r:id="rId2"/>
    </customSheetView>
  </customSheetViews>
  <mergeCells count="5">
    <mergeCell ref="D11:E11"/>
    <mergeCell ref="D13:E13"/>
    <mergeCell ref="D14:E14"/>
    <mergeCell ref="B19:E19"/>
    <mergeCell ref="B23:E23"/>
  </mergeCells>
  <pageMargins left="0.25" right="0.25" top="0.75" bottom="0.75" header="0.3" footer="0.3"/>
  <pageSetup orientation="portrait" horizontalDpi="1200" verticalDpi="1200" r:id="rId3"/>
</worksheet>
</file>

<file path=xl/worksheets/sheet2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A8A3632-DAF6-4232-A6CC-E36D6E4EA7E5}">
  <sheetPr>
    <tabColor theme="9"/>
    <pageSetUpPr fitToPage="1"/>
  </sheetPr>
  <dimension ref="B2:F28"/>
  <sheetViews>
    <sheetView workbookViewId="0">
      <selection activeCell="G19" sqref="G19"/>
    </sheetView>
  </sheetViews>
  <sheetFormatPr defaultRowHeight="14.4" x14ac:dyDescent="0.3"/>
  <cols>
    <col min="1" max="1" width="5.6640625" customWidth="1"/>
    <col min="2" max="2" width="23.33203125" customWidth="1"/>
    <col min="3" max="3" width="11.33203125" customWidth="1"/>
    <col min="4" max="4" width="46.33203125" customWidth="1"/>
    <col min="5" max="5" width="12.6640625" hidden="1" customWidth="1"/>
    <col min="6" max="6" width="11.6640625" customWidth="1"/>
    <col min="7" max="7" width="11.5546875" customWidth="1"/>
    <col min="8" max="8" width="12.33203125" customWidth="1"/>
    <col min="9" max="9" width="17.33203125" customWidth="1"/>
    <col min="10" max="10" width="9" customWidth="1"/>
    <col min="11" max="12" width="11.33203125" customWidth="1"/>
    <col min="13" max="13" width="7.33203125" customWidth="1"/>
    <col min="14" max="14" width="9.5546875" customWidth="1"/>
    <col min="15" max="15" width="5" customWidth="1"/>
    <col min="16" max="16" width="9.44140625" customWidth="1"/>
    <col min="17" max="17" width="7.33203125" customWidth="1"/>
    <col min="18" max="18" width="4.33203125" customWidth="1"/>
    <col min="19" max="19" width="6.5546875" customWidth="1"/>
    <col min="20" max="20" width="2.6640625" customWidth="1"/>
    <col min="21" max="21" width="3.33203125" customWidth="1"/>
  </cols>
  <sheetData>
    <row r="2" spans="2:6" ht="15.6" x14ac:dyDescent="0.3">
      <c r="B2" s="1" t="s">
        <v>0</v>
      </c>
    </row>
    <row r="3" spans="2:6" ht="15.6" x14ac:dyDescent="0.3">
      <c r="B3" s="1"/>
    </row>
    <row r="4" spans="2:6" ht="15.6" x14ac:dyDescent="0.3">
      <c r="B4" s="3" t="s">
        <v>113</v>
      </c>
    </row>
    <row r="5" spans="2:6" ht="15.6" x14ac:dyDescent="0.3">
      <c r="B5" s="3" t="str">
        <f>"Reporting Date:  " &amp;('Data Entry'!$B$2)</f>
        <v>Reporting Date:  3/1/2026-3/31/2026</v>
      </c>
      <c r="C5" s="3"/>
    </row>
    <row r="6" spans="2:6" ht="15.6" x14ac:dyDescent="0.3">
      <c r="B6" s="3"/>
    </row>
    <row r="7" spans="2:6" ht="15.6" x14ac:dyDescent="0.3">
      <c r="B7" s="4" t="s">
        <v>1</v>
      </c>
      <c r="D7" s="6"/>
      <c r="F7" s="6"/>
    </row>
    <row r="8" spans="2:6" ht="9.75" customHeight="1" x14ac:dyDescent="0.3">
      <c r="B8" s="4"/>
    </row>
    <row r="9" spans="2:6" ht="15.6" x14ac:dyDescent="0.3">
      <c r="B9" s="10" t="s">
        <v>2</v>
      </c>
      <c r="C9" s="2"/>
      <c r="D9" s="7">
        <f>'Data Entry'!$B$4</f>
        <v>46129</v>
      </c>
    </row>
    <row r="10" spans="2:6" ht="33" customHeight="1" x14ac:dyDescent="0.3">
      <c r="B10" s="8" t="s">
        <v>3</v>
      </c>
      <c r="C10" s="5"/>
      <c r="D10" s="31" t="s">
        <v>41</v>
      </c>
      <c r="E10" s="31"/>
    </row>
    <row r="11" spans="2:6" ht="15.6" x14ac:dyDescent="0.3">
      <c r="B11" s="8" t="s">
        <v>4</v>
      </c>
      <c r="C11" s="5"/>
      <c r="D11" s="5" t="s">
        <v>114</v>
      </c>
    </row>
    <row r="12" spans="2:6" ht="176.25" customHeight="1" x14ac:dyDescent="0.3">
      <c r="B12" s="8" t="s">
        <v>5</v>
      </c>
      <c r="C12" s="5"/>
      <c r="D12" s="32" t="s">
        <v>115</v>
      </c>
      <c r="E12" s="32"/>
    </row>
    <row r="13" spans="2:6" ht="51.75" customHeight="1" x14ac:dyDescent="0.3">
      <c r="B13" s="9" t="s">
        <v>12</v>
      </c>
      <c r="C13" s="8"/>
      <c r="D13" s="32" t="s">
        <v>112</v>
      </c>
      <c r="E13" s="32"/>
    </row>
    <row r="14" spans="2:6" ht="15.6" x14ac:dyDescent="0.3">
      <c r="B14" s="8" t="s">
        <v>6</v>
      </c>
      <c r="C14" s="8"/>
      <c r="D14" s="8" t="s">
        <v>151</v>
      </c>
      <c r="E14" s="17"/>
    </row>
    <row r="15" spans="2:6" ht="15.6" x14ac:dyDescent="0.3">
      <c r="B15" s="8" t="s">
        <v>7</v>
      </c>
      <c r="C15" s="8"/>
      <c r="D15" s="8" t="s">
        <v>8</v>
      </c>
      <c r="E15" s="17"/>
    </row>
    <row r="16" spans="2:6" ht="15.6" x14ac:dyDescent="0.3">
      <c r="B16" s="5"/>
      <c r="C16" s="5"/>
      <c r="D16" s="5"/>
    </row>
    <row r="17" spans="2:5" ht="0.75" customHeight="1" x14ac:dyDescent="0.3">
      <c r="B17" s="2"/>
      <c r="C17" s="2"/>
      <c r="D17" s="2"/>
    </row>
    <row r="18" spans="2:5" ht="81.75" customHeight="1" x14ac:dyDescent="0.3">
      <c r="B18" s="32" t="s">
        <v>172</v>
      </c>
      <c r="C18" s="32"/>
      <c r="D18" s="32"/>
      <c r="E18" s="32"/>
    </row>
    <row r="20" spans="2:5" x14ac:dyDescent="0.3">
      <c r="B20" s="12" t="s">
        <v>9</v>
      </c>
    </row>
    <row r="21" spans="2:5" ht="25.5" customHeight="1" x14ac:dyDescent="0.3">
      <c r="B21" s="33" t="s">
        <v>10</v>
      </c>
      <c r="C21" s="33"/>
      <c r="D21" s="33"/>
      <c r="E21" s="33"/>
    </row>
    <row r="22" spans="2:5" ht="3.75" customHeight="1" x14ac:dyDescent="0.3"/>
    <row r="24" spans="2:5" x14ac:dyDescent="0.3">
      <c r="B24" s="13" t="str">
        <f>"Date: " &amp; " " &amp;TEXT('Data Entry'!$B$6, "MMMM DD, YYY")</f>
        <v>Date:  April 17, 2026</v>
      </c>
      <c r="C24" s="14"/>
      <c r="D24" s="11" t="s">
        <v>11</v>
      </c>
    </row>
    <row r="25" spans="2:5" x14ac:dyDescent="0.3">
      <c r="B25" s="11"/>
      <c r="C25" s="11"/>
      <c r="D25" s="11"/>
    </row>
    <row r="26" spans="2:5" x14ac:dyDescent="0.3">
      <c r="B26" s="11"/>
      <c r="C26" s="11"/>
      <c r="D26" s="15"/>
    </row>
    <row r="27" spans="2:5" x14ac:dyDescent="0.3">
      <c r="B27" s="11"/>
      <c r="C27" s="11"/>
      <c r="D27" s="16" t="str">
        <f>'Data Entry'!$B$7</f>
        <v>Michael Heagerty</v>
      </c>
    </row>
    <row r="28" spans="2:5" x14ac:dyDescent="0.3">
      <c r="B28" s="11"/>
      <c r="C28" s="11"/>
      <c r="D28" s="11" t="str">
        <f>'Data Entry'!$B$8</f>
        <v>Principal</v>
      </c>
    </row>
  </sheetData>
  <customSheetViews>
    <customSheetView guid="{126BE109-959B-480F-842E-7874A8088742}" showPageBreaks="1" hiddenColumns="1">
      <selection sqref="A1:XFD1048576"/>
      <pageMargins left="0.7" right="0.7" top="0.75" bottom="0.75" header="0.3" footer="0.3"/>
      <pageSetup orientation="portrait" horizontalDpi="1200" verticalDpi="1200" r:id="rId1"/>
    </customSheetView>
    <customSheetView guid="{0B0B99EA-567A-4367-98D1-8FEBFA28A824}" hiddenColumns="1">
      <selection sqref="A1:XFD1048576"/>
      <pageMargins left="0.7" right="0.7" top="0.75" bottom="0.75" header="0.3" footer="0.3"/>
      <pageSetup orientation="portrait" horizontalDpi="1200" verticalDpi="1200" r:id="rId2"/>
    </customSheetView>
  </customSheetViews>
  <mergeCells count="5">
    <mergeCell ref="D10:E10"/>
    <mergeCell ref="D12:E12"/>
    <mergeCell ref="D13:E13"/>
    <mergeCell ref="B18:E18"/>
    <mergeCell ref="B21:E21"/>
  </mergeCells>
  <pageMargins left="0.25" right="0.25" top="0.75" bottom="0.75" header="0.3" footer="0.3"/>
  <pageSetup orientation="portrait" horizontalDpi="1200" verticalDpi="1200" r:id="rId3"/>
</worksheet>
</file>

<file path=xl/worksheets/sheet2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DDC160B-743C-47C2-8E50-EEB12A4037A4}">
  <sheetPr>
    <tabColor theme="9"/>
    <pageSetUpPr fitToPage="1"/>
  </sheetPr>
  <dimension ref="B2:F29"/>
  <sheetViews>
    <sheetView workbookViewId="0">
      <selection activeCell="G19" sqref="G19"/>
    </sheetView>
  </sheetViews>
  <sheetFormatPr defaultRowHeight="14.4" x14ac:dyDescent="0.3"/>
  <cols>
    <col min="1" max="1" width="5.6640625" customWidth="1"/>
    <col min="2" max="2" width="23.33203125" customWidth="1"/>
    <col min="3" max="3" width="11.33203125" customWidth="1"/>
    <col min="4" max="4" width="46.33203125" customWidth="1"/>
    <col min="5" max="5" width="12.6640625" hidden="1" customWidth="1"/>
    <col min="6" max="6" width="11.6640625" customWidth="1"/>
    <col min="7" max="7" width="11.5546875" customWidth="1"/>
    <col min="8" max="8" width="12.33203125" customWidth="1"/>
    <col min="9" max="9" width="17.33203125" customWidth="1"/>
    <col min="10" max="10" width="9" customWidth="1"/>
    <col min="11" max="12" width="11.33203125" customWidth="1"/>
    <col min="13" max="13" width="7.33203125" customWidth="1"/>
    <col min="14" max="14" width="9.5546875" customWidth="1"/>
    <col min="15" max="15" width="5" customWidth="1"/>
    <col min="16" max="16" width="9.44140625" customWidth="1"/>
    <col min="17" max="17" width="7.33203125" customWidth="1"/>
    <col min="18" max="18" width="4.33203125" customWidth="1"/>
    <col min="19" max="19" width="6.5546875" customWidth="1"/>
    <col min="20" max="20" width="2.6640625" customWidth="1"/>
    <col min="21" max="21" width="3.33203125" customWidth="1"/>
  </cols>
  <sheetData>
    <row r="2" spans="2:6" ht="15.6" x14ac:dyDescent="0.3">
      <c r="B2" s="1" t="s">
        <v>0</v>
      </c>
    </row>
    <row r="3" spans="2:6" ht="15.6" x14ac:dyDescent="0.3">
      <c r="B3" s="1"/>
    </row>
    <row r="4" spans="2:6" ht="15.6" x14ac:dyDescent="0.3">
      <c r="B4" s="3" t="s">
        <v>122</v>
      </c>
    </row>
    <row r="5" spans="2:6" ht="15.6" x14ac:dyDescent="0.3">
      <c r="B5" s="3" t="str">
        <f>"Reporting Date:  " &amp;('Data Entry'!$B$2)</f>
        <v>Reporting Date:  3/1/2026-3/31/2026</v>
      </c>
      <c r="C5" s="3"/>
    </row>
    <row r="6" spans="2:6" ht="15.6" x14ac:dyDescent="0.3">
      <c r="B6" s="3"/>
    </row>
    <row r="8" spans="2:6" ht="15.6" x14ac:dyDescent="0.3">
      <c r="B8" s="4" t="s">
        <v>1</v>
      </c>
      <c r="D8" s="6"/>
      <c r="F8" s="6"/>
    </row>
    <row r="9" spans="2:6" ht="9.75" customHeight="1" x14ac:dyDescent="0.3">
      <c r="B9" s="4"/>
    </row>
    <row r="10" spans="2:6" ht="15.6" x14ac:dyDescent="0.3">
      <c r="B10" s="10" t="s">
        <v>2</v>
      </c>
      <c r="C10" s="2"/>
      <c r="D10" s="7">
        <f>'Data Entry'!$B$4</f>
        <v>46129</v>
      </c>
    </row>
    <row r="11" spans="2:6" ht="33" customHeight="1" x14ac:dyDescent="0.3">
      <c r="B11" s="8" t="s">
        <v>3</v>
      </c>
      <c r="C11" s="5"/>
      <c r="D11" s="24" t="s">
        <v>123</v>
      </c>
    </row>
    <row r="12" spans="2:6" ht="15.6" x14ac:dyDescent="0.3">
      <c r="B12" s="8" t="s">
        <v>4</v>
      </c>
      <c r="C12" s="5"/>
      <c r="D12" s="5" t="s">
        <v>124</v>
      </c>
    </row>
    <row r="13" spans="2:6" ht="158.69999999999999" customHeight="1" x14ac:dyDescent="0.3">
      <c r="B13" s="8" t="s">
        <v>5</v>
      </c>
      <c r="C13" s="5"/>
      <c r="D13" s="25" t="s">
        <v>125</v>
      </c>
    </row>
    <row r="14" spans="2:6" ht="51.75" customHeight="1" x14ac:dyDescent="0.3">
      <c r="B14" s="9" t="s">
        <v>12</v>
      </c>
      <c r="C14" s="8"/>
      <c r="D14" s="25" t="s">
        <v>126</v>
      </c>
    </row>
    <row r="15" spans="2:6" ht="15.6" x14ac:dyDescent="0.3">
      <c r="B15" s="8" t="s">
        <v>6</v>
      </c>
      <c r="C15" s="8"/>
      <c r="D15" s="8" t="s">
        <v>151</v>
      </c>
      <c r="E15" s="17"/>
    </row>
    <row r="16" spans="2:6" ht="15.6" x14ac:dyDescent="0.3">
      <c r="B16" s="8" t="s">
        <v>7</v>
      </c>
      <c r="C16" s="8"/>
      <c r="D16" s="8" t="s">
        <v>8</v>
      </c>
      <c r="E16" s="17"/>
    </row>
    <row r="17" spans="2:5" ht="15.6" x14ac:dyDescent="0.3">
      <c r="B17" s="5"/>
      <c r="C17" s="5"/>
      <c r="D17" s="5"/>
    </row>
    <row r="18" spans="2:5" ht="0.75" customHeight="1" x14ac:dyDescent="0.3">
      <c r="B18" s="2"/>
      <c r="C18" s="2"/>
      <c r="D18" s="2"/>
    </row>
    <row r="19" spans="2:5" ht="81.75" customHeight="1" x14ac:dyDescent="0.3">
      <c r="B19" s="32" t="s">
        <v>173</v>
      </c>
      <c r="C19" s="32"/>
      <c r="D19" s="32"/>
      <c r="E19" s="25"/>
    </row>
    <row r="21" spans="2:5" x14ac:dyDescent="0.3">
      <c r="B21" s="12" t="s">
        <v>9</v>
      </c>
    </row>
    <row r="22" spans="2:5" ht="25.5" customHeight="1" x14ac:dyDescent="0.3">
      <c r="B22" s="33" t="s">
        <v>10</v>
      </c>
      <c r="C22" s="33"/>
      <c r="D22" s="33"/>
    </row>
    <row r="23" spans="2:5" ht="3.75" customHeight="1" x14ac:dyDescent="0.3"/>
    <row r="25" spans="2:5" x14ac:dyDescent="0.3">
      <c r="B25" s="13" t="str">
        <f>"Date: " &amp; " " &amp;TEXT('Data Entry'!$B$6, "MMMM DD, YYY")</f>
        <v>Date:  April 17, 2026</v>
      </c>
      <c r="C25" s="14"/>
      <c r="D25" s="11" t="s">
        <v>11</v>
      </c>
    </row>
    <row r="26" spans="2:5" x14ac:dyDescent="0.3">
      <c r="B26" s="11"/>
      <c r="C26" s="11"/>
      <c r="D26" s="11"/>
    </row>
    <row r="27" spans="2:5" x14ac:dyDescent="0.3">
      <c r="B27" s="11"/>
      <c r="C27" s="11"/>
      <c r="D27" s="15"/>
    </row>
    <row r="28" spans="2:5" x14ac:dyDescent="0.3">
      <c r="B28" s="11"/>
      <c r="C28" s="11"/>
      <c r="D28" s="16" t="str">
        <f>'Data Entry'!$B$7</f>
        <v>Michael Heagerty</v>
      </c>
    </row>
    <row r="29" spans="2:5" x14ac:dyDescent="0.3">
      <c r="B29" s="11"/>
      <c r="C29" s="11"/>
      <c r="D29" s="11" t="str">
        <f>'Data Entry'!$B$8</f>
        <v>Principal</v>
      </c>
    </row>
  </sheetData>
  <customSheetViews>
    <customSheetView guid="{126BE109-959B-480F-842E-7874A8088742}" showPageBreaks="1" hiddenColumns="1">
      <selection activeCell="B22" sqref="B22:D22"/>
      <pageMargins left="0.7" right="0.7" top="0.75" bottom="0.75" header="0.3" footer="0.3"/>
      <pageSetup orientation="portrait" horizontalDpi="1200" verticalDpi="1200" r:id="rId1"/>
    </customSheetView>
    <customSheetView guid="{0B0B99EA-567A-4367-98D1-8FEBFA28A824}" hiddenColumns="1">
      <selection activeCell="B19" sqref="B19:D19"/>
      <pageMargins left="0.7" right="0.7" top="0.75" bottom="0.75" header="0.3" footer="0.3"/>
    </customSheetView>
  </customSheetViews>
  <mergeCells count="2">
    <mergeCell ref="B19:D19"/>
    <mergeCell ref="B22:D22"/>
  </mergeCells>
  <pageMargins left="0.25" right="0.25" top="0.75" bottom="0.75" header="0.3" footer="0.3"/>
  <pageSetup orientation="portrait" horizontalDpi="1200" verticalDpi="1200" r:id="rId2"/>
</worksheet>
</file>

<file path=xl/worksheets/sheet2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7A9CF07-3AA5-44CF-AF82-F5BD4DB997CB}">
  <sheetPr>
    <tabColor theme="9"/>
    <pageSetUpPr fitToPage="1"/>
  </sheetPr>
  <dimension ref="B2:F29"/>
  <sheetViews>
    <sheetView workbookViewId="0">
      <selection activeCell="G19" sqref="G19"/>
    </sheetView>
  </sheetViews>
  <sheetFormatPr defaultRowHeight="14.4" x14ac:dyDescent="0.3"/>
  <cols>
    <col min="1" max="1" width="5.6640625" customWidth="1"/>
    <col min="2" max="2" width="23.33203125" customWidth="1"/>
    <col min="3" max="3" width="11.33203125" customWidth="1"/>
    <col min="4" max="4" width="46.33203125" customWidth="1"/>
    <col min="5" max="5" width="12.6640625" hidden="1" customWidth="1"/>
    <col min="6" max="6" width="11.6640625" customWidth="1"/>
    <col min="7" max="7" width="11.5546875" customWidth="1"/>
    <col min="8" max="8" width="12.33203125" customWidth="1"/>
    <col min="9" max="9" width="17.33203125" customWidth="1"/>
    <col min="10" max="10" width="9" customWidth="1"/>
    <col min="11" max="12" width="11.33203125" customWidth="1"/>
    <col min="13" max="13" width="7.33203125" customWidth="1"/>
    <col min="14" max="14" width="9.5546875" customWidth="1"/>
    <col min="15" max="15" width="5" customWidth="1"/>
    <col min="16" max="16" width="9.44140625" customWidth="1"/>
    <col min="17" max="17" width="7.33203125" customWidth="1"/>
    <col min="18" max="18" width="4.33203125" customWidth="1"/>
    <col min="19" max="19" width="6.5546875" customWidth="1"/>
    <col min="20" max="20" width="2.6640625" customWidth="1"/>
    <col min="21" max="21" width="3.33203125" customWidth="1"/>
  </cols>
  <sheetData>
    <row r="2" spans="2:6" ht="15.6" x14ac:dyDescent="0.3">
      <c r="B2" s="1" t="s">
        <v>0</v>
      </c>
    </row>
    <row r="3" spans="2:6" ht="15.6" x14ac:dyDescent="0.3">
      <c r="B3" s="1"/>
    </row>
    <row r="4" spans="2:6" ht="15.6" x14ac:dyDescent="0.3">
      <c r="B4" s="3" t="s">
        <v>128</v>
      </c>
    </row>
    <row r="5" spans="2:6" ht="15.6" x14ac:dyDescent="0.3">
      <c r="B5" s="3" t="str">
        <f>"Reporting Date:  " &amp;('Data Entry'!$B$2)</f>
        <v>Reporting Date:  3/1/2026-3/31/2026</v>
      </c>
      <c r="C5" s="3"/>
    </row>
    <row r="6" spans="2:6" ht="15.6" x14ac:dyDescent="0.3">
      <c r="B6" s="3"/>
    </row>
    <row r="8" spans="2:6" ht="15.6" x14ac:dyDescent="0.3">
      <c r="B8" s="4" t="s">
        <v>1</v>
      </c>
      <c r="D8" s="6"/>
      <c r="F8" s="6"/>
    </row>
    <row r="9" spans="2:6" ht="9.75" customHeight="1" x14ac:dyDescent="0.3">
      <c r="B9" s="4"/>
    </row>
    <row r="10" spans="2:6" ht="15.6" x14ac:dyDescent="0.3">
      <c r="B10" s="10" t="s">
        <v>2</v>
      </c>
      <c r="C10" s="2"/>
      <c r="D10" s="7">
        <f>'Data Entry'!$B$4</f>
        <v>46129</v>
      </c>
    </row>
    <row r="11" spans="2:6" ht="33" customHeight="1" x14ac:dyDescent="0.3">
      <c r="B11" s="8" t="s">
        <v>3</v>
      </c>
      <c r="C11" s="5"/>
      <c r="D11" s="24" t="s">
        <v>19</v>
      </c>
    </row>
    <row r="12" spans="2:6" ht="15.6" x14ac:dyDescent="0.3">
      <c r="B12" s="8" t="s">
        <v>4</v>
      </c>
      <c r="C12" s="5"/>
      <c r="D12" s="5" t="s">
        <v>129</v>
      </c>
    </row>
    <row r="13" spans="2:6" ht="156.6" customHeight="1" x14ac:dyDescent="0.3">
      <c r="B13" s="8" t="s">
        <v>5</v>
      </c>
      <c r="C13" s="5"/>
      <c r="D13" s="25" t="s">
        <v>130</v>
      </c>
    </row>
    <row r="14" spans="2:6" ht="51.75" customHeight="1" x14ac:dyDescent="0.3">
      <c r="B14" s="9" t="s">
        <v>12</v>
      </c>
      <c r="C14" s="8"/>
      <c r="D14" s="25" t="s">
        <v>131</v>
      </c>
    </row>
    <row r="15" spans="2:6" ht="15.6" x14ac:dyDescent="0.3">
      <c r="B15" s="8" t="s">
        <v>6</v>
      </c>
      <c r="C15" s="8"/>
      <c r="D15" s="8" t="s">
        <v>151</v>
      </c>
      <c r="E15" s="17"/>
    </row>
    <row r="16" spans="2:6" ht="15.6" x14ac:dyDescent="0.3">
      <c r="B16" s="8" t="s">
        <v>7</v>
      </c>
      <c r="C16" s="8"/>
      <c r="D16" s="8" t="s">
        <v>8</v>
      </c>
      <c r="E16" s="17"/>
    </row>
    <row r="17" spans="2:5" ht="15.6" x14ac:dyDescent="0.3">
      <c r="B17" s="5"/>
      <c r="C17" s="5"/>
      <c r="D17" s="5"/>
    </row>
    <row r="18" spans="2:5" ht="0.75" customHeight="1" x14ac:dyDescent="0.3">
      <c r="B18" s="2"/>
      <c r="C18" s="2"/>
      <c r="D18" s="2"/>
    </row>
    <row r="19" spans="2:5" ht="81.75" customHeight="1" x14ac:dyDescent="0.3">
      <c r="B19" s="32" t="s">
        <v>174</v>
      </c>
      <c r="C19" s="32"/>
      <c r="D19" s="32"/>
      <c r="E19" s="25"/>
    </row>
    <row r="21" spans="2:5" x14ac:dyDescent="0.3">
      <c r="B21" s="12" t="s">
        <v>9</v>
      </c>
    </row>
    <row r="22" spans="2:5" ht="25.5" customHeight="1" x14ac:dyDescent="0.3">
      <c r="B22" s="26" t="s">
        <v>10</v>
      </c>
    </row>
    <row r="23" spans="2:5" ht="3.75" customHeight="1" x14ac:dyDescent="0.3"/>
    <row r="25" spans="2:5" x14ac:dyDescent="0.3">
      <c r="B25" s="13" t="str">
        <f>"Date: " &amp; " " &amp;TEXT('Data Entry'!$B$6, "MMMM DD, YYY")</f>
        <v>Date:  April 17, 2026</v>
      </c>
      <c r="C25" s="14"/>
      <c r="D25" s="11" t="s">
        <v>11</v>
      </c>
    </row>
    <row r="26" spans="2:5" x14ac:dyDescent="0.3">
      <c r="B26" s="11"/>
      <c r="C26" s="11"/>
      <c r="D26" s="11"/>
    </row>
    <row r="27" spans="2:5" x14ac:dyDescent="0.3">
      <c r="B27" s="11"/>
      <c r="C27" s="11"/>
      <c r="D27" s="15"/>
    </row>
    <row r="28" spans="2:5" x14ac:dyDescent="0.3">
      <c r="B28" s="11"/>
      <c r="C28" s="11"/>
      <c r="D28" s="16" t="str">
        <f>'Data Entry'!$B$7</f>
        <v>Michael Heagerty</v>
      </c>
    </row>
    <row r="29" spans="2:5" x14ac:dyDescent="0.3">
      <c r="B29" s="11"/>
      <c r="C29" s="11"/>
      <c r="D29" s="11" t="str">
        <f>'Data Entry'!$B$8</f>
        <v>Principal</v>
      </c>
    </row>
  </sheetData>
  <customSheetViews>
    <customSheetView guid="{0B0B99EA-567A-4367-98D1-8FEBFA28A824}" hiddenColumns="1">
      <selection activeCell="B19" sqref="B19"/>
      <pageMargins left="0.7" right="0.7" top="0.75" bottom="0.75" header="0.3" footer="0.3"/>
    </customSheetView>
  </customSheetViews>
  <mergeCells count="1">
    <mergeCell ref="B19:D19"/>
  </mergeCells>
  <pageMargins left="0.25" right="0.25" top="0.75" bottom="0.75" header="0.3" footer="0.3"/>
  <pageSetup orientation="portrait" horizontalDpi="1200" verticalDpi="1200" r:id="rId1"/>
</worksheet>
</file>

<file path=xl/worksheets/sheet2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7880FC5-C0F3-4871-9041-091E4238D035}">
  <sheetPr>
    <tabColor theme="9"/>
  </sheetPr>
  <dimension ref="B2:F29"/>
  <sheetViews>
    <sheetView workbookViewId="0">
      <selection activeCell="G19" sqref="G19"/>
    </sheetView>
  </sheetViews>
  <sheetFormatPr defaultRowHeight="14.4" x14ac:dyDescent="0.3"/>
  <cols>
    <col min="1" max="1" width="5.6640625" customWidth="1"/>
    <col min="2" max="2" width="23.33203125" customWidth="1"/>
    <col min="3" max="3" width="11.33203125" customWidth="1"/>
    <col min="4" max="4" width="46.33203125" customWidth="1"/>
    <col min="5" max="5" width="12.6640625" hidden="1" customWidth="1"/>
    <col min="6" max="6" width="11.6640625" customWidth="1"/>
    <col min="7" max="7" width="11.5546875" customWidth="1"/>
    <col min="8" max="8" width="12.33203125" customWidth="1"/>
    <col min="9" max="9" width="17.33203125" customWidth="1"/>
    <col min="10" max="10" width="9" customWidth="1"/>
    <col min="11" max="12" width="11.33203125" customWidth="1"/>
    <col min="13" max="13" width="7.33203125" customWidth="1"/>
    <col min="14" max="14" width="9.5546875" customWidth="1"/>
    <col min="15" max="15" width="5" customWidth="1"/>
    <col min="16" max="16" width="9.44140625" customWidth="1"/>
    <col min="17" max="17" width="7.33203125" customWidth="1"/>
    <col min="18" max="18" width="4.33203125" customWidth="1"/>
    <col min="19" max="19" width="6.5546875" customWidth="1"/>
    <col min="20" max="20" width="2.6640625" customWidth="1"/>
    <col min="21" max="21" width="3.33203125" customWidth="1"/>
  </cols>
  <sheetData>
    <row r="2" spans="2:6" ht="15.6" x14ac:dyDescent="0.3">
      <c r="B2" s="1" t="s">
        <v>0</v>
      </c>
    </row>
    <row r="3" spans="2:6" ht="15.6" x14ac:dyDescent="0.3">
      <c r="B3" s="1"/>
    </row>
    <row r="4" spans="2:6" ht="15.6" x14ac:dyDescent="0.3">
      <c r="B4" s="3" t="s">
        <v>132</v>
      </c>
    </row>
    <row r="5" spans="2:6" ht="15.6" x14ac:dyDescent="0.3">
      <c r="B5" s="3" t="str">
        <f>"Reporting Date:  " &amp;('Data Entry'!$B$2)</f>
        <v>Reporting Date:  3/1/2026-3/31/2026</v>
      </c>
      <c r="C5" s="3"/>
    </row>
    <row r="6" spans="2:6" ht="15.6" x14ac:dyDescent="0.3">
      <c r="B6" s="3"/>
    </row>
    <row r="8" spans="2:6" ht="15.6" x14ac:dyDescent="0.3">
      <c r="B8" s="4" t="s">
        <v>1</v>
      </c>
      <c r="D8" s="6"/>
      <c r="F8" s="6"/>
    </row>
    <row r="9" spans="2:6" ht="9.75" customHeight="1" x14ac:dyDescent="0.3">
      <c r="B9" s="4"/>
    </row>
    <row r="10" spans="2:6" ht="15.6" x14ac:dyDescent="0.3">
      <c r="B10" s="10" t="s">
        <v>2</v>
      </c>
      <c r="C10" s="2"/>
      <c r="D10" s="7">
        <f>'Data Entry'!$B$4</f>
        <v>46129</v>
      </c>
    </row>
    <row r="11" spans="2:6" ht="33" customHeight="1" x14ac:dyDescent="0.3">
      <c r="B11" s="8" t="s">
        <v>3</v>
      </c>
      <c r="C11" s="5"/>
      <c r="D11" s="24" t="s">
        <v>19</v>
      </c>
    </row>
    <row r="12" spans="2:6" ht="15.6" x14ac:dyDescent="0.3">
      <c r="B12" s="8" t="s">
        <v>4</v>
      </c>
      <c r="C12" s="5"/>
      <c r="D12" s="5" t="s">
        <v>133</v>
      </c>
    </row>
    <row r="13" spans="2:6" ht="156.6" customHeight="1" x14ac:dyDescent="0.3">
      <c r="B13" s="8" t="s">
        <v>5</v>
      </c>
      <c r="C13" s="5"/>
      <c r="D13" s="25" t="s">
        <v>134</v>
      </c>
    </row>
    <row r="14" spans="2:6" ht="51.75" customHeight="1" x14ac:dyDescent="0.3">
      <c r="B14" s="9" t="s">
        <v>12</v>
      </c>
      <c r="C14" s="8"/>
      <c r="D14" s="25" t="s">
        <v>135</v>
      </c>
    </row>
    <row r="15" spans="2:6" ht="15.6" x14ac:dyDescent="0.3">
      <c r="B15" s="8" t="s">
        <v>6</v>
      </c>
      <c r="C15" s="8"/>
      <c r="D15" s="8" t="s">
        <v>151</v>
      </c>
      <c r="E15" s="17"/>
    </row>
    <row r="16" spans="2:6" ht="15.6" x14ac:dyDescent="0.3">
      <c r="B16" s="8" t="s">
        <v>7</v>
      </c>
      <c r="C16" s="8"/>
      <c r="D16" s="8" t="s">
        <v>8</v>
      </c>
      <c r="E16" s="17"/>
    </row>
    <row r="17" spans="2:5" ht="15.6" x14ac:dyDescent="0.3">
      <c r="B17" s="5"/>
      <c r="C17" s="5"/>
      <c r="D17" s="5"/>
    </row>
    <row r="18" spans="2:5" ht="0.75" customHeight="1" x14ac:dyDescent="0.3">
      <c r="B18" s="2"/>
      <c r="C18" s="2"/>
      <c r="D18" s="2"/>
    </row>
    <row r="19" spans="2:5" ht="81.75" customHeight="1" x14ac:dyDescent="0.3">
      <c r="B19" s="32" t="s">
        <v>175</v>
      </c>
      <c r="C19" s="32"/>
      <c r="D19" s="32"/>
      <c r="E19" s="25"/>
    </row>
    <row r="21" spans="2:5" x14ac:dyDescent="0.3">
      <c r="B21" s="12" t="s">
        <v>9</v>
      </c>
    </row>
    <row r="22" spans="2:5" ht="25.5" customHeight="1" x14ac:dyDescent="0.3">
      <c r="B22" s="26" t="s">
        <v>10</v>
      </c>
    </row>
    <row r="23" spans="2:5" ht="3.75" customHeight="1" x14ac:dyDescent="0.3"/>
    <row r="25" spans="2:5" x14ac:dyDescent="0.3">
      <c r="B25" s="13" t="str">
        <f>"Date: " &amp; " " &amp;TEXT('Data Entry'!$B$6, "MMMM DD, YYY")</f>
        <v>Date:  April 17, 2026</v>
      </c>
      <c r="C25" s="14"/>
      <c r="D25" s="11" t="s">
        <v>11</v>
      </c>
    </row>
    <row r="26" spans="2:5" x14ac:dyDescent="0.3">
      <c r="B26" s="11"/>
      <c r="C26" s="11"/>
      <c r="D26" s="11"/>
    </row>
    <row r="27" spans="2:5" x14ac:dyDescent="0.3">
      <c r="B27" s="11"/>
      <c r="C27" s="11"/>
      <c r="D27" s="15"/>
    </row>
    <row r="28" spans="2:5" x14ac:dyDescent="0.3">
      <c r="B28" s="11"/>
      <c r="C28" s="11"/>
      <c r="D28" s="16" t="str">
        <f>'Data Entry'!$B$7</f>
        <v>Michael Heagerty</v>
      </c>
    </row>
    <row r="29" spans="2:5" x14ac:dyDescent="0.3">
      <c r="B29" s="11"/>
      <c r="C29" s="11"/>
      <c r="D29" s="11" t="str">
        <f>'Data Entry'!$B$8</f>
        <v>Principal</v>
      </c>
    </row>
  </sheetData>
  <mergeCells count="1">
    <mergeCell ref="B19:D19"/>
  </mergeCells>
  <pageMargins left="0.7" right="0.7" top="0.75" bottom="0.75" header="0.3" footer="0.3"/>
  <pageSetup orientation="portrait" horizontalDpi="1200" verticalDpi="1200" r:id="rId1"/>
</worksheet>
</file>

<file path=xl/worksheets/sheet2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F2600D6-D7B7-455C-92AC-071C42619356}">
  <sheetPr>
    <tabColor theme="9"/>
  </sheetPr>
  <dimension ref="B2:F29"/>
  <sheetViews>
    <sheetView workbookViewId="0">
      <selection activeCell="G19" sqref="G19"/>
    </sheetView>
  </sheetViews>
  <sheetFormatPr defaultRowHeight="14.4" x14ac:dyDescent="0.3"/>
  <cols>
    <col min="1" max="1" width="5.6640625" customWidth="1"/>
    <col min="2" max="2" width="23.33203125" customWidth="1"/>
    <col min="3" max="3" width="11.33203125" customWidth="1"/>
    <col min="4" max="4" width="46.33203125" customWidth="1"/>
    <col min="5" max="5" width="12.6640625" hidden="1" customWidth="1"/>
    <col min="6" max="6" width="11.6640625" customWidth="1"/>
    <col min="7" max="7" width="11.5546875" customWidth="1"/>
    <col min="8" max="8" width="12.33203125" customWidth="1"/>
    <col min="9" max="9" width="17.33203125" customWidth="1"/>
    <col min="10" max="10" width="9" customWidth="1"/>
    <col min="11" max="12" width="11.33203125" customWidth="1"/>
    <col min="13" max="13" width="7.33203125" customWidth="1"/>
    <col min="14" max="14" width="9.5546875" customWidth="1"/>
    <col min="15" max="15" width="5" customWidth="1"/>
    <col min="16" max="16" width="9.44140625" customWidth="1"/>
    <col min="17" max="17" width="7.33203125" customWidth="1"/>
    <col min="18" max="18" width="4.33203125" customWidth="1"/>
    <col min="19" max="19" width="6.5546875" customWidth="1"/>
    <col min="20" max="20" width="2.6640625" customWidth="1"/>
    <col min="21" max="21" width="3.33203125" customWidth="1"/>
  </cols>
  <sheetData>
    <row r="2" spans="2:6" ht="15.6" x14ac:dyDescent="0.3">
      <c r="B2" s="1" t="s">
        <v>0</v>
      </c>
    </row>
    <row r="3" spans="2:6" ht="15.6" x14ac:dyDescent="0.3">
      <c r="B3" s="1"/>
    </row>
    <row r="4" spans="2:6" ht="15.6" x14ac:dyDescent="0.3">
      <c r="B4" s="3" t="s">
        <v>138</v>
      </c>
    </row>
    <row r="5" spans="2:6" ht="15.6" x14ac:dyDescent="0.3">
      <c r="B5" s="3" t="str">
        <f>"Reporting Date:  " &amp;('Data Entry'!$B$2)</f>
        <v>Reporting Date:  3/1/2026-3/31/2026</v>
      </c>
      <c r="C5" s="3"/>
    </row>
    <row r="6" spans="2:6" ht="15.6" x14ac:dyDescent="0.3">
      <c r="B6" s="3"/>
    </row>
    <row r="8" spans="2:6" ht="15.6" x14ac:dyDescent="0.3">
      <c r="B8" s="4" t="s">
        <v>1</v>
      </c>
      <c r="D8" s="6"/>
      <c r="F8" s="6"/>
    </row>
    <row r="9" spans="2:6" ht="9.75" customHeight="1" x14ac:dyDescent="0.3">
      <c r="B9" s="4"/>
    </row>
    <row r="10" spans="2:6" ht="15.6" x14ac:dyDescent="0.3">
      <c r="B10" s="10" t="s">
        <v>2</v>
      </c>
      <c r="C10" s="2"/>
      <c r="D10" s="7">
        <f>'Data Entry'!$B$4</f>
        <v>46129</v>
      </c>
    </row>
    <row r="11" spans="2:6" ht="33" customHeight="1" x14ac:dyDescent="0.3">
      <c r="B11" s="8" t="s">
        <v>3</v>
      </c>
      <c r="C11" s="5"/>
      <c r="D11" s="24" t="s">
        <v>139</v>
      </c>
    </row>
    <row r="12" spans="2:6" ht="15.6" x14ac:dyDescent="0.3">
      <c r="B12" s="8" t="s">
        <v>4</v>
      </c>
      <c r="C12" s="5"/>
      <c r="D12" s="5" t="s">
        <v>140</v>
      </c>
    </row>
    <row r="13" spans="2:6" ht="156.6" customHeight="1" x14ac:dyDescent="0.3">
      <c r="B13" s="8" t="s">
        <v>5</v>
      </c>
      <c r="C13" s="5"/>
      <c r="D13" s="25" t="s">
        <v>141</v>
      </c>
    </row>
    <row r="14" spans="2:6" ht="51.75" customHeight="1" x14ac:dyDescent="0.3">
      <c r="B14" s="9" t="s">
        <v>12</v>
      </c>
      <c r="C14" s="8"/>
      <c r="D14" s="25" t="s">
        <v>142</v>
      </c>
    </row>
    <row r="15" spans="2:6" ht="15.6" x14ac:dyDescent="0.3">
      <c r="B15" s="8" t="s">
        <v>6</v>
      </c>
      <c r="C15" s="8"/>
      <c r="D15" s="8" t="s">
        <v>151</v>
      </c>
      <c r="E15" s="17"/>
    </row>
    <row r="16" spans="2:6" ht="15.6" x14ac:dyDescent="0.3">
      <c r="B16" s="8" t="s">
        <v>7</v>
      </c>
      <c r="C16" s="8"/>
      <c r="D16" s="8" t="s">
        <v>8</v>
      </c>
      <c r="E16" s="17"/>
    </row>
    <row r="17" spans="2:5" ht="15.6" x14ac:dyDescent="0.3">
      <c r="B17" s="5"/>
      <c r="C17" s="5"/>
      <c r="D17" s="5"/>
    </row>
    <row r="18" spans="2:5" ht="0.75" customHeight="1" x14ac:dyDescent="0.3">
      <c r="B18" s="2"/>
      <c r="C18" s="2"/>
      <c r="D18" s="2"/>
    </row>
    <row r="19" spans="2:5" ht="81.75" customHeight="1" x14ac:dyDescent="0.3">
      <c r="B19" s="32" t="s">
        <v>176</v>
      </c>
      <c r="C19" s="32"/>
      <c r="D19" s="32"/>
      <c r="E19" s="25"/>
    </row>
    <row r="21" spans="2:5" x14ac:dyDescent="0.3">
      <c r="B21" s="12" t="s">
        <v>9</v>
      </c>
    </row>
    <row r="22" spans="2:5" ht="25.5" customHeight="1" x14ac:dyDescent="0.3">
      <c r="B22" s="26" t="s">
        <v>10</v>
      </c>
    </row>
    <row r="23" spans="2:5" ht="3.75" customHeight="1" x14ac:dyDescent="0.3"/>
    <row r="25" spans="2:5" x14ac:dyDescent="0.3">
      <c r="B25" s="13" t="str">
        <f>"Date: " &amp; " " &amp;TEXT('Data Entry'!$B$6, "MMMM DD, YYY")</f>
        <v>Date:  April 17, 2026</v>
      </c>
      <c r="C25" s="14"/>
      <c r="D25" s="11" t="s">
        <v>11</v>
      </c>
    </row>
    <row r="26" spans="2:5" x14ac:dyDescent="0.3">
      <c r="B26" s="11"/>
      <c r="C26" s="11"/>
      <c r="D26" s="11"/>
    </row>
    <row r="27" spans="2:5" x14ac:dyDescent="0.3">
      <c r="B27" s="11"/>
      <c r="C27" s="11"/>
      <c r="D27" s="15"/>
    </row>
    <row r="28" spans="2:5" x14ac:dyDescent="0.3">
      <c r="B28" s="11"/>
      <c r="C28" s="11"/>
      <c r="D28" s="16" t="str">
        <f>'Data Entry'!$B$7</f>
        <v>Michael Heagerty</v>
      </c>
    </row>
    <row r="29" spans="2:5" x14ac:dyDescent="0.3">
      <c r="B29" s="11"/>
      <c r="C29" s="11"/>
      <c r="D29" s="11" t="str">
        <f>'Data Entry'!$B$8</f>
        <v>Principal</v>
      </c>
    </row>
  </sheetData>
  <mergeCells count="1">
    <mergeCell ref="B19:D19"/>
  </mergeCells>
  <pageMargins left="0.7" right="0.7" top="0.75" bottom="0.75" header="0.3" footer="0.3"/>
  <pageSetup orientation="portrait" horizontalDpi="1200" verticalDpi="1200" r:id="rId1"/>
</worksheet>
</file>

<file path=xl/worksheets/sheet2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C432AB0-118F-479B-8251-E42DF069614C}">
  <sheetPr>
    <tabColor theme="9"/>
  </sheetPr>
  <dimension ref="B2:F29"/>
  <sheetViews>
    <sheetView workbookViewId="0">
      <selection activeCell="G19" sqref="G19"/>
    </sheetView>
  </sheetViews>
  <sheetFormatPr defaultRowHeight="14.4" x14ac:dyDescent="0.3"/>
  <cols>
    <col min="1" max="1" width="5.6640625" customWidth="1"/>
    <col min="2" max="2" width="23.33203125" customWidth="1"/>
    <col min="3" max="3" width="11.33203125" customWidth="1"/>
    <col min="4" max="4" width="46.33203125" customWidth="1"/>
    <col min="5" max="5" width="12.6640625" hidden="1" customWidth="1"/>
    <col min="6" max="6" width="11.6640625" customWidth="1"/>
    <col min="7" max="7" width="11.5546875" customWidth="1"/>
    <col min="8" max="8" width="12.33203125" customWidth="1"/>
    <col min="9" max="9" width="17.33203125" customWidth="1"/>
    <col min="10" max="10" width="9" customWidth="1"/>
    <col min="11" max="12" width="11.33203125" customWidth="1"/>
    <col min="13" max="13" width="7.33203125" customWidth="1"/>
    <col min="14" max="14" width="9.5546875" customWidth="1"/>
    <col min="15" max="15" width="5" customWidth="1"/>
    <col min="16" max="16" width="9.44140625" customWidth="1"/>
    <col min="17" max="17" width="7.33203125" customWidth="1"/>
    <col min="18" max="18" width="4.33203125" customWidth="1"/>
    <col min="19" max="19" width="6.5546875" customWidth="1"/>
    <col min="20" max="20" width="2.6640625" customWidth="1"/>
    <col min="21" max="21" width="3.33203125" customWidth="1"/>
  </cols>
  <sheetData>
    <row r="2" spans="2:6" ht="15.6" x14ac:dyDescent="0.3">
      <c r="B2" s="1" t="s">
        <v>0</v>
      </c>
    </row>
    <row r="3" spans="2:6" ht="15.6" x14ac:dyDescent="0.3">
      <c r="B3" s="1"/>
    </row>
    <row r="4" spans="2:6" ht="15.6" x14ac:dyDescent="0.3">
      <c r="B4" s="3" t="s">
        <v>145</v>
      </c>
    </row>
    <row r="5" spans="2:6" ht="15.6" x14ac:dyDescent="0.3">
      <c r="B5" s="3" t="str">
        <f>"Reporting Date:  " &amp;('Data Entry'!$B$2)</f>
        <v>Reporting Date:  3/1/2026-3/31/2026</v>
      </c>
      <c r="C5" s="3"/>
    </row>
    <row r="6" spans="2:6" ht="15.6" x14ac:dyDescent="0.3">
      <c r="B6" s="3"/>
    </row>
    <row r="8" spans="2:6" ht="15.6" x14ac:dyDescent="0.3">
      <c r="B8" s="4" t="s">
        <v>1</v>
      </c>
      <c r="D8" s="6"/>
      <c r="F8" s="6"/>
    </row>
    <row r="9" spans="2:6" ht="9.75" customHeight="1" x14ac:dyDescent="0.3">
      <c r="B9" s="4"/>
    </row>
    <row r="10" spans="2:6" ht="15.6" x14ac:dyDescent="0.3">
      <c r="B10" s="10" t="s">
        <v>2</v>
      </c>
      <c r="C10" s="2"/>
      <c r="D10" s="7">
        <f>'Data Entry'!$B$4</f>
        <v>46129</v>
      </c>
    </row>
    <row r="11" spans="2:6" ht="33" customHeight="1" x14ac:dyDescent="0.3">
      <c r="B11" s="8" t="s">
        <v>3</v>
      </c>
      <c r="C11" s="5"/>
      <c r="D11" s="24" t="s">
        <v>139</v>
      </c>
    </row>
    <row r="12" spans="2:6" ht="15.6" x14ac:dyDescent="0.3">
      <c r="B12" s="8" t="s">
        <v>4</v>
      </c>
      <c r="C12" s="5"/>
      <c r="D12" s="5" t="s">
        <v>146</v>
      </c>
    </row>
    <row r="13" spans="2:6" ht="156.6" customHeight="1" x14ac:dyDescent="0.3">
      <c r="B13" s="8" t="s">
        <v>5</v>
      </c>
      <c r="C13" s="5"/>
      <c r="D13" s="25" t="s">
        <v>147</v>
      </c>
    </row>
    <row r="14" spans="2:6" ht="51.75" customHeight="1" x14ac:dyDescent="0.3">
      <c r="B14" s="9" t="s">
        <v>12</v>
      </c>
      <c r="C14" s="8"/>
      <c r="D14" s="25" t="s">
        <v>148</v>
      </c>
    </row>
    <row r="15" spans="2:6" ht="15.6" x14ac:dyDescent="0.3">
      <c r="B15" s="8" t="s">
        <v>6</v>
      </c>
      <c r="C15" s="8"/>
      <c r="D15" s="8" t="s">
        <v>151</v>
      </c>
      <c r="E15" s="17"/>
    </row>
    <row r="16" spans="2:6" ht="15.6" x14ac:dyDescent="0.3">
      <c r="B16" s="8" t="s">
        <v>7</v>
      </c>
      <c r="C16" s="8"/>
      <c r="D16" s="8" t="s">
        <v>149</v>
      </c>
      <c r="E16" s="17"/>
    </row>
    <row r="17" spans="2:5" ht="15.6" x14ac:dyDescent="0.3">
      <c r="B17" s="5"/>
      <c r="C17" s="5"/>
      <c r="D17" s="5"/>
    </row>
    <row r="18" spans="2:5" ht="0.75" customHeight="1" x14ac:dyDescent="0.3">
      <c r="B18" s="2"/>
      <c r="C18" s="2"/>
      <c r="D18" s="2"/>
    </row>
    <row r="19" spans="2:5" ht="81.75" customHeight="1" x14ac:dyDescent="0.3">
      <c r="B19" s="32" t="s">
        <v>150</v>
      </c>
      <c r="C19" s="32"/>
      <c r="D19" s="32"/>
      <c r="E19" s="25"/>
    </row>
    <row r="21" spans="2:5" x14ac:dyDescent="0.3">
      <c r="B21" s="12" t="s">
        <v>9</v>
      </c>
    </row>
    <row r="22" spans="2:5" ht="25.5" customHeight="1" x14ac:dyDescent="0.3">
      <c r="B22" s="26" t="s">
        <v>10</v>
      </c>
    </row>
    <row r="23" spans="2:5" ht="3.75" customHeight="1" x14ac:dyDescent="0.3"/>
    <row r="25" spans="2:5" x14ac:dyDescent="0.3">
      <c r="B25" s="13" t="str">
        <f>"Date: " &amp; " " &amp;TEXT('Data Entry'!$B$6, "MMMM DD, YYY")</f>
        <v>Date:  April 17, 2026</v>
      </c>
      <c r="C25" s="14"/>
      <c r="D25" s="11" t="s">
        <v>152</v>
      </c>
    </row>
    <row r="26" spans="2:5" x14ac:dyDescent="0.3">
      <c r="B26" s="11"/>
      <c r="C26" s="11"/>
      <c r="D26" s="11"/>
    </row>
    <row r="27" spans="2:5" x14ac:dyDescent="0.3">
      <c r="B27" s="11"/>
      <c r="C27" s="11"/>
      <c r="D27" s="15"/>
    </row>
    <row r="28" spans="2:5" x14ac:dyDescent="0.3">
      <c r="B28" s="11"/>
      <c r="C28" s="11"/>
      <c r="D28" s="16" t="str">
        <f>'Data Entry'!$B$7</f>
        <v>Michael Heagerty</v>
      </c>
    </row>
    <row r="29" spans="2:5" x14ac:dyDescent="0.3">
      <c r="B29" s="11"/>
      <c r="C29" s="11"/>
      <c r="D29" s="11" t="str">
        <f>'Data Entry'!$B$8</f>
        <v>Principal</v>
      </c>
    </row>
  </sheetData>
  <mergeCells count="1">
    <mergeCell ref="B19:D19"/>
  </mergeCells>
  <pageMargins left="0.7" right="0.7" top="0.75" bottom="0.75" header="0.3" footer="0.3"/>
  <pageSetup orientation="portrait" horizontalDpi="1200" verticalDpi="1200" r:id="rId1"/>
</worksheet>
</file>

<file path=xl/worksheets/sheet2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A7675F5-AC3F-44D2-9C86-D87923F3FA69}">
  <sheetPr>
    <tabColor theme="9"/>
  </sheetPr>
  <dimension ref="B2:F29"/>
  <sheetViews>
    <sheetView workbookViewId="0">
      <selection activeCell="G19" sqref="G19"/>
    </sheetView>
  </sheetViews>
  <sheetFormatPr defaultRowHeight="14.4" x14ac:dyDescent="0.3"/>
  <cols>
    <col min="1" max="1" width="5.6640625" customWidth="1"/>
    <col min="2" max="2" width="23.33203125" customWidth="1"/>
    <col min="3" max="3" width="11.33203125" customWidth="1"/>
    <col min="4" max="4" width="46.33203125" customWidth="1"/>
    <col min="5" max="5" width="12.6640625" hidden="1" customWidth="1"/>
    <col min="6" max="6" width="11.6640625" customWidth="1"/>
    <col min="7" max="7" width="11.5546875" customWidth="1"/>
    <col min="8" max="8" width="12.33203125" customWidth="1"/>
    <col min="9" max="9" width="17.33203125" customWidth="1"/>
    <col min="10" max="10" width="9" customWidth="1"/>
    <col min="11" max="12" width="11.33203125" customWidth="1"/>
    <col min="13" max="13" width="7.33203125" customWidth="1"/>
    <col min="14" max="14" width="9.5546875" customWidth="1"/>
    <col min="15" max="15" width="5" customWidth="1"/>
    <col min="16" max="16" width="9.44140625" customWidth="1"/>
    <col min="17" max="17" width="7.33203125" customWidth="1"/>
    <col min="18" max="18" width="4.33203125" customWidth="1"/>
    <col min="19" max="19" width="6.5546875" customWidth="1"/>
    <col min="20" max="20" width="2.6640625" customWidth="1"/>
    <col min="21" max="21" width="3.33203125" customWidth="1"/>
  </cols>
  <sheetData>
    <row r="2" spans="2:6" ht="15.6" x14ac:dyDescent="0.3">
      <c r="B2" s="1" t="s">
        <v>0</v>
      </c>
    </row>
    <row r="3" spans="2:6" ht="15.6" x14ac:dyDescent="0.3">
      <c r="B3" s="1"/>
    </row>
    <row r="4" spans="2:6" ht="15.6" x14ac:dyDescent="0.3">
      <c r="B4" s="3" t="s">
        <v>178</v>
      </c>
    </row>
    <row r="5" spans="2:6" ht="15.6" x14ac:dyDescent="0.3">
      <c r="B5" s="3" t="str">
        <f>"Reporting Date:  " &amp;('Data Entry'!$B$2)</f>
        <v>Reporting Date:  3/1/2026-3/31/2026</v>
      </c>
      <c r="C5" s="3"/>
    </row>
    <row r="6" spans="2:6" ht="15.6" x14ac:dyDescent="0.3">
      <c r="B6" s="3"/>
    </row>
    <row r="8" spans="2:6" ht="15.6" x14ac:dyDescent="0.3">
      <c r="B8" s="4" t="s">
        <v>1</v>
      </c>
      <c r="D8" s="6"/>
      <c r="F8" s="6"/>
    </row>
    <row r="9" spans="2:6" ht="9.75" customHeight="1" x14ac:dyDescent="0.3">
      <c r="B9" s="4"/>
    </row>
    <row r="10" spans="2:6" ht="15.6" x14ac:dyDescent="0.3">
      <c r="B10" s="10" t="s">
        <v>2</v>
      </c>
      <c r="C10" s="2"/>
      <c r="D10" s="7">
        <f>'Data Entry'!$B$4</f>
        <v>46129</v>
      </c>
    </row>
    <row r="11" spans="2:6" ht="33" customHeight="1" x14ac:dyDescent="0.3">
      <c r="B11" s="8" t="s">
        <v>3</v>
      </c>
      <c r="C11" s="5"/>
      <c r="D11" s="24" t="s">
        <v>179</v>
      </c>
    </row>
    <row r="12" spans="2:6" ht="15.6" x14ac:dyDescent="0.3">
      <c r="B12" s="8" t="s">
        <v>4</v>
      </c>
      <c r="C12" s="5"/>
      <c r="D12" s="5" t="s">
        <v>180</v>
      </c>
    </row>
    <row r="13" spans="2:6" ht="156.6" customHeight="1" x14ac:dyDescent="0.3">
      <c r="B13" s="8" t="s">
        <v>5</v>
      </c>
      <c r="C13" s="5"/>
      <c r="D13" s="25" t="s">
        <v>181</v>
      </c>
    </row>
    <row r="14" spans="2:6" ht="51.75" customHeight="1" x14ac:dyDescent="0.3">
      <c r="B14" s="9" t="s">
        <v>12</v>
      </c>
      <c r="C14" s="8"/>
      <c r="D14" s="25" t="s">
        <v>182</v>
      </c>
    </row>
    <row r="15" spans="2:6" ht="15.6" x14ac:dyDescent="0.3">
      <c r="B15" s="8" t="s">
        <v>6</v>
      </c>
      <c r="C15" s="8"/>
      <c r="D15" s="8" t="s">
        <v>151</v>
      </c>
      <c r="E15" s="17"/>
    </row>
    <row r="16" spans="2:6" ht="15.6" x14ac:dyDescent="0.3">
      <c r="B16" s="8" t="s">
        <v>7</v>
      </c>
      <c r="C16" s="8"/>
      <c r="D16" s="8" t="s">
        <v>149</v>
      </c>
      <c r="E16" s="17"/>
    </row>
    <row r="17" spans="2:5" ht="15.6" x14ac:dyDescent="0.3">
      <c r="B17" s="5"/>
      <c r="C17" s="5"/>
      <c r="D17" s="5"/>
    </row>
    <row r="18" spans="2:5" ht="0.75" customHeight="1" x14ac:dyDescent="0.3">
      <c r="B18" s="2"/>
      <c r="C18" s="2"/>
      <c r="D18" s="2"/>
    </row>
    <row r="19" spans="2:5" ht="81.75" customHeight="1" x14ac:dyDescent="0.3">
      <c r="B19" s="32" t="s">
        <v>183</v>
      </c>
      <c r="C19" s="32"/>
      <c r="D19" s="32"/>
      <c r="E19" s="25"/>
    </row>
    <row r="21" spans="2:5" x14ac:dyDescent="0.3">
      <c r="B21" s="12" t="s">
        <v>9</v>
      </c>
    </row>
    <row r="22" spans="2:5" ht="25.5" customHeight="1" x14ac:dyDescent="0.3">
      <c r="B22" s="26" t="s">
        <v>10</v>
      </c>
    </row>
    <row r="23" spans="2:5" ht="3.75" customHeight="1" x14ac:dyDescent="0.3"/>
    <row r="25" spans="2:5" x14ac:dyDescent="0.3">
      <c r="B25" s="13" t="str">
        <f>"Date: " &amp; " " &amp;TEXT('Data Entry'!$B$6, "MMMM DD, YYY")</f>
        <v>Date:  April 17, 2026</v>
      </c>
      <c r="C25" s="14"/>
      <c r="D25" s="11" t="s">
        <v>152</v>
      </c>
    </row>
    <row r="26" spans="2:5" x14ac:dyDescent="0.3">
      <c r="B26" s="11"/>
      <c r="C26" s="11"/>
      <c r="D26" s="11"/>
    </row>
    <row r="27" spans="2:5" x14ac:dyDescent="0.3">
      <c r="B27" s="11"/>
      <c r="C27" s="11"/>
      <c r="D27" s="15"/>
    </row>
    <row r="28" spans="2:5" x14ac:dyDescent="0.3">
      <c r="B28" s="11"/>
      <c r="C28" s="11"/>
      <c r="D28" s="16" t="str">
        <f>'Data Entry'!$B$7</f>
        <v>Michael Heagerty</v>
      </c>
    </row>
    <row r="29" spans="2:5" x14ac:dyDescent="0.3">
      <c r="B29" s="11"/>
      <c r="C29" s="11"/>
      <c r="D29" s="11" t="str">
        <f>'Data Entry'!$B$8</f>
        <v>Principal</v>
      </c>
    </row>
  </sheetData>
  <mergeCells count="1">
    <mergeCell ref="B19:D19"/>
  </mergeCells>
  <pageMargins left="0.7" right="0.7" top="0.75" bottom="0.75" header="0.3" footer="0.3"/>
  <pageSetup orientation="portrait" horizontalDpi="1200" verticalDpi="1200" r:id="rId1"/>
</worksheet>
</file>

<file path=xl/worksheets/sheet2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79BB810-7C6D-4F82-94E2-262BEF45A2AC}">
  <sheetPr>
    <tabColor theme="9"/>
  </sheetPr>
  <dimension ref="B2:F29"/>
  <sheetViews>
    <sheetView workbookViewId="0">
      <selection activeCell="D14" sqref="D14"/>
    </sheetView>
  </sheetViews>
  <sheetFormatPr defaultRowHeight="14.4" x14ac:dyDescent="0.3"/>
  <cols>
    <col min="1" max="1" width="5.6640625" customWidth="1"/>
    <col min="2" max="2" width="23.33203125" customWidth="1"/>
    <col min="3" max="3" width="11.33203125" customWidth="1"/>
    <col min="4" max="4" width="46.33203125" customWidth="1"/>
    <col min="5" max="5" width="12.6640625" hidden="1" customWidth="1"/>
    <col min="6" max="6" width="11.6640625" customWidth="1"/>
    <col min="7" max="7" width="11.5546875" customWidth="1"/>
    <col min="8" max="8" width="12.33203125" customWidth="1"/>
    <col min="9" max="9" width="17.33203125" customWidth="1"/>
    <col min="10" max="10" width="9" customWidth="1"/>
    <col min="11" max="12" width="11.33203125" customWidth="1"/>
    <col min="13" max="13" width="7.33203125" customWidth="1"/>
    <col min="14" max="14" width="9.5546875" customWidth="1"/>
    <col min="15" max="15" width="5" customWidth="1"/>
    <col min="16" max="16" width="9.44140625" customWidth="1"/>
    <col min="17" max="17" width="7.33203125" customWidth="1"/>
    <col min="18" max="18" width="4.33203125" customWidth="1"/>
    <col min="19" max="19" width="6.5546875" customWidth="1"/>
    <col min="20" max="20" width="2.6640625" customWidth="1"/>
    <col min="21" max="21" width="3.33203125" customWidth="1"/>
  </cols>
  <sheetData>
    <row r="2" spans="2:6" ht="15.6" x14ac:dyDescent="0.3">
      <c r="B2" s="1" t="s">
        <v>0</v>
      </c>
    </row>
    <row r="3" spans="2:6" ht="15.6" x14ac:dyDescent="0.3">
      <c r="B3" s="1"/>
    </row>
    <row r="4" spans="2:6" ht="15.6" x14ac:dyDescent="0.3">
      <c r="B4" s="3" t="s">
        <v>185</v>
      </c>
    </row>
    <row r="5" spans="2:6" ht="15.6" x14ac:dyDescent="0.3">
      <c r="B5" s="3" t="str">
        <f>"Reporting Date:  " &amp;('Data Entry'!$B$2)</f>
        <v>Reporting Date:  3/1/2026-3/31/2026</v>
      </c>
      <c r="C5" s="3"/>
    </row>
    <row r="6" spans="2:6" ht="15.6" x14ac:dyDescent="0.3">
      <c r="B6" s="3"/>
    </row>
    <row r="8" spans="2:6" ht="15.6" x14ac:dyDescent="0.3">
      <c r="B8" s="4" t="s">
        <v>1</v>
      </c>
      <c r="D8" s="6"/>
      <c r="F8" s="6"/>
    </row>
    <row r="9" spans="2:6" ht="9.75" customHeight="1" x14ac:dyDescent="0.3">
      <c r="B9" s="4"/>
    </row>
    <row r="10" spans="2:6" ht="15.6" x14ac:dyDescent="0.3">
      <c r="B10" s="10" t="s">
        <v>2</v>
      </c>
      <c r="C10" s="2"/>
      <c r="D10" s="7">
        <f>'Data Entry'!$B$4</f>
        <v>46129</v>
      </c>
    </row>
    <row r="11" spans="2:6" ht="33" customHeight="1" x14ac:dyDescent="0.3">
      <c r="B11" s="8" t="s">
        <v>3</v>
      </c>
      <c r="C11" s="5"/>
      <c r="D11" s="24" t="s">
        <v>19</v>
      </c>
    </row>
    <row r="12" spans="2:6" ht="15.6" x14ac:dyDescent="0.3">
      <c r="B12" s="8" t="s">
        <v>4</v>
      </c>
      <c r="C12" s="5"/>
      <c r="D12" s="5" t="s">
        <v>186</v>
      </c>
    </row>
    <row r="13" spans="2:6" ht="156.6" customHeight="1" x14ac:dyDescent="0.3">
      <c r="B13" s="8" t="s">
        <v>5</v>
      </c>
      <c r="C13" s="5"/>
      <c r="D13" s="25" t="s">
        <v>212</v>
      </c>
    </row>
    <row r="14" spans="2:6" ht="51.75" customHeight="1" x14ac:dyDescent="0.3">
      <c r="B14" s="9" t="s">
        <v>12</v>
      </c>
      <c r="C14" s="8"/>
      <c r="D14" s="25" t="s">
        <v>187</v>
      </c>
    </row>
    <row r="15" spans="2:6" ht="15.6" x14ac:dyDescent="0.3">
      <c r="B15" s="8" t="s">
        <v>6</v>
      </c>
      <c r="C15" s="8"/>
      <c r="D15" s="8" t="s">
        <v>151</v>
      </c>
      <c r="E15" s="17"/>
    </row>
    <row r="16" spans="2:6" ht="15.6" x14ac:dyDescent="0.3">
      <c r="B16" s="8" t="s">
        <v>7</v>
      </c>
      <c r="C16" s="8"/>
      <c r="D16" s="8" t="s">
        <v>149</v>
      </c>
      <c r="E16" s="17"/>
    </row>
    <row r="17" spans="2:5" ht="15.6" x14ac:dyDescent="0.3">
      <c r="B17" s="5"/>
      <c r="C17" s="5"/>
      <c r="D17" s="5"/>
    </row>
    <row r="18" spans="2:5" ht="0.75" customHeight="1" x14ac:dyDescent="0.3">
      <c r="B18" s="2"/>
      <c r="C18" s="2"/>
      <c r="D18" s="2"/>
    </row>
    <row r="19" spans="2:5" ht="81.75" customHeight="1" x14ac:dyDescent="0.3">
      <c r="B19" s="32" t="s">
        <v>188</v>
      </c>
      <c r="C19" s="32"/>
      <c r="D19" s="32"/>
      <c r="E19" s="25"/>
    </row>
    <row r="21" spans="2:5" x14ac:dyDescent="0.3">
      <c r="B21" s="12" t="s">
        <v>9</v>
      </c>
    </row>
    <row r="22" spans="2:5" ht="25.5" customHeight="1" x14ac:dyDescent="0.3">
      <c r="B22" s="26" t="s">
        <v>10</v>
      </c>
    </row>
    <row r="23" spans="2:5" ht="3.75" customHeight="1" x14ac:dyDescent="0.3"/>
    <row r="25" spans="2:5" x14ac:dyDescent="0.3">
      <c r="B25" s="13" t="str">
        <f>"Date: " &amp; " " &amp;TEXT('Data Entry'!$B$6, "MMMM DD, YYY")</f>
        <v>Date:  April 17, 2026</v>
      </c>
      <c r="C25" s="14"/>
      <c r="D25" s="11" t="s">
        <v>152</v>
      </c>
    </row>
    <row r="26" spans="2:5" x14ac:dyDescent="0.3">
      <c r="B26" s="11"/>
      <c r="C26" s="11"/>
      <c r="D26" s="11"/>
    </row>
    <row r="27" spans="2:5" x14ac:dyDescent="0.3">
      <c r="B27" s="11"/>
      <c r="C27" s="11"/>
      <c r="D27" s="15"/>
    </row>
    <row r="28" spans="2:5" x14ac:dyDescent="0.3">
      <c r="B28" s="11"/>
      <c r="C28" s="11"/>
      <c r="D28" s="16" t="str">
        <f>'Data Entry'!$B$7</f>
        <v>Michael Heagerty</v>
      </c>
    </row>
    <row r="29" spans="2:5" x14ac:dyDescent="0.3">
      <c r="B29" s="11"/>
      <c r="C29" s="11"/>
      <c r="D29" s="11" t="str">
        <f>'Data Entry'!$B$8</f>
        <v>Principal</v>
      </c>
    </row>
  </sheetData>
  <mergeCells count="1">
    <mergeCell ref="B19:D19"/>
  </mergeCells>
  <pageMargins left="0.7" right="0.7" top="0.75" bottom="0.75" header="0.3" footer="0.3"/>
  <pageSetup orientation="portrait" r:id="rId1"/>
</worksheet>
</file>

<file path=xl/worksheets/sheet3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5831DE5-0EF8-4ACF-9751-53B76FBFFC6E}">
  <sheetPr>
    <tabColor theme="9"/>
  </sheetPr>
  <dimension ref="B2:F29"/>
  <sheetViews>
    <sheetView workbookViewId="0">
      <selection activeCell="P24" sqref="P24"/>
    </sheetView>
  </sheetViews>
  <sheetFormatPr defaultRowHeight="14.4" x14ac:dyDescent="0.3"/>
  <cols>
    <col min="1" max="1" width="5.6640625" customWidth="1"/>
    <col min="2" max="2" width="23.33203125" customWidth="1"/>
    <col min="3" max="3" width="11.33203125" customWidth="1"/>
    <col min="4" max="4" width="46.33203125" customWidth="1"/>
    <col min="5" max="5" width="12.6640625" hidden="1" customWidth="1"/>
    <col min="6" max="6" width="11.6640625" customWidth="1"/>
    <col min="7" max="7" width="11.5546875" customWidth="1"/>
    <col min="8" max="8" width="12.33203125" customWidth="1"/>
    <col min="9" max="9" width="17.33203125" customWidth="1"/>
    <col min="10" max="10" width="9" customWidth="1"/>
    <col min="11" max="12" width="11.33203125" customWidth="1"/>
    <col min="13" max="13" width="7.33203125" customWidth="1"/>
    <col min="14" max="14" width="9.5546875" customWidth="1"/>
    <col min="15" max="15" width="5" customWidth="1"/>
    <col min="16" max="16" width="9.44140625" customWidth="1"/>
    <col min="17" max="17" width="7.33203125" customWidth="1"/>
    <col min="18" max="18" width="4.33203125" customWidth="1"/>
    <col min="19" max="19" width="6.5546875" customWidth="1"/>
    <col min="20" max="20" width="2.6640625" customWidth="1"/>
    <col min="21" max="21" width="3.33203125" customWidth="1"/>
  </cols>
  <sheetData>
    <row r="2" spans="2:6" ht="15.6" x14ac:dyDescent="0.3">
      <c r="B2" s="1" t="s">
        <v>0</v>
      </c>
    </row>
    <row r="3" spans="2:6" ht="15.6" x14ac:dyDescent="0.3">
      <c r="B3" s="1"/>
    </row>
    <row r="4" spans="2:6" ht="15.6" x14ac:dyDescent="0.3">
      <c r="B4" s="3" t="s">
        <v>210</v>
      </c>
    </row>
    <row r="5" spans="2:6" ht="15.6" x14ac:dyDescent="0.3">
      <c r="B5" s="3" t="str">
        <f>"Reporting Date:  " &amp;('Data Entry'!$B$2)</f>
        <v>Reporting Date:  3/1/2026-3/31/2026</v>
      </c>
      <c r="C5" s="3"/>
    </row>
    <row r="6" spans="2:6" ht="15.6" x14ac:dyDescent="0.3">
      <c r="B6" s="3"/>
    </row>
    <row r="8" spans="2:6" ht="15.6" x14ac:dyDescent="0.3">
      <c r="B8" s="4" t="s">
        <v>1</v>
      </c>
      <c r="D8" s="6"/>
      <c r="F8" s="6"/>
    </row>
    <row r="9" spans="2:6" ht="9.75" customHeight="1" x14ac:dyDescent="0.3">
      <c r="B9" s="4"/>
    </row>
    <row r="10" spans="2:6" ht="15.6" x14ac:dyDescent="0.3">
      <c r="B10" s="10" t="s">
        <v>2</v>
      </c>
      <c r="C10" s="2"/>
      <c r="D10" s="7">
        <f>'Data Entry'!$B$4</f>
        <v>46129</v>
      </c>
    </row>
    <row r="11" spans="2:6" ht="33" customHeight="1" x14ac:dyDescent="0.3">
      <c r="B11" s="8" t="s">
        <v>3</v>
      </c>
      <c r="C11" s="5"/>
      <c r="D11" s="24" t="s">
        <v>17</v>
      </c>
    </row>
    <row r="12" spans="2:6" ht="15.6" x14ac:dyDescent="0.3">
      <c r="B12" s="8" t="s">
        <v>4</v>
      </c>
      <c r="C12" s="5"/>
      <c r="D12" s="5" t="s">
        <v>211</v>
      </c>
    </row>
    <row r="13" spans="2:6" ht="156.6" customHeight="1" x14ac:dyDescent="0.3">
      <c r="B13" s="8" t="s">
        <v>5</v>
      </c>
      <c r="C13" s="5"/>
      <c r="D13" s="25" t="s">
        <v>214</v>
      </c>
    </row>
    <row r="14" spans="2:6" ht="51.75" customHeight="1" x14ac:dyDescent="0.3">
      <c r="B14" s="9" t="s">
        <v>12</v>
      </c>
      <c r="C14" s="8"/>
      <c r="D14" s="25" t="s">
        <v>215</v>
      </c>
    </row>
    <row r="15" spans="2:6" ht="15.6" x14ac:dyDescent="0.3">
      <c r="B15" s="8" t="s">
        <v>6</v>
      </c>
      <c r="C15" s="8"/>
      <c r="D15" s="8" t="s">
        <v>151</v>
      </c>
      <c r="E15" s="17"/>
    </row>
    <row r="16" spans="2:6" ht="15.6" x14ac:dyDescent="0.3">
      <c r="B16" s="8" t="s">
        <v>7</v>
      </c>
      <c r="C16" s="8"/>
      <c r="D16" s="8" t="s">
        <v>149</v>
      </c>
      <c r="E16" s="17"/>
    </row>
    <row r="17" spans="2:5" ht="15.6" x14ac:dyDescent="0.3">
      <c r="B17" s="5"/>
      <c r="C17" s="5"/>
      <c r="D17" s="5"/>
    </row>
    <row r="18" spans="2:5" ht="0.75" customHeight="1" x14ac:dyDescent="0.3">
      <c r="B18" s="2"/>
      <c r="C18" s="2"/>
      <c r="D18" s="2"/>
    </row>
    <row r="19" spans="2:5" ht="81.75" customHeight="1" x14ac:dyDescent="0.3">
      <c r="B19" s="32" t="s">
        <v>216</v>
      </c>
      <c r="C19" s="32"/>
      <c r="D19" s="32"/>
      <c r="E19" s="25"/>
    </row>
    <row r="21" spans="2:5" x14ac:dyDescent="0.3">
      <c r="B21" s="12" t="s">
        <v>9</v>
      </c>
    </row>
    <row r="22" spans="2:5" ht="25.5" customHeight="1" x14ac:dyDescent="0.3">
      <c r="B22" s="26" t="s">
        <v>10</v>
      </c>
    </row>
    <row r="23" spans="2:5" ht="3.75" customHeight="1" x14ac:dyDescent="0.3"/>
    <row r="25" spans="2:5" x14ac:dyDescent="0.3">
      <c r="B25" s="13" t="str">
        <f>"Date: " &amp; " " &amp;TEXT('Data Entry'!$B$6, "MMMM DD, YYY")</f>
        <v>Date:  April 17, 2026</v>
      </c>
      <c r="C25" s="14"/>
      <c r="D25" s="11" t="s">
        <v>152</v>
      </c>
    </row>
    <row r="26" spans="2:5" x14ac:dyDescent="0.3">
      <c r="B26" s="11"/>
      <c r="C26" s="11"/>
      <c r="D26" s="11"/>
    </row>
    <row r="27" spans="2:5" x14ac:dyDescent="0.3">
      <c r="B27" s="11"/>
      <c r="C27" s="11"/>
      <c r="D27" s="15"/>
    </row>
    <row r="28" spans="2:5" x14ac:dyDescent="0.3">
      <c r="B28" s="11"/>
      <c r="C28" s="11"/>
      <c r="D28" s="16" t="str">
        <f>'Data Entry'!$B$7</f>
        <v>Michael Heagerty</v>
      </c>
    </row>
    <row r="29" spans="2:5" x14ac:dyDescent="0.3">
      <c r="B29" s="11"/>
      <c r="C29" s="11"/>
      <c r="D29" s="11" t="str">
        <f>'Data Entry'!$B$8</f>
        <v>Principal</v>
      </c>
    </row>
  </sheetData>
  <mergeCells count="1">
    <mergeCell ref="B19:D19"/>
  </mergeCells>
  <pageMargins left="0.7" right="0.7" top="0.75" bottom="0.75" header="0.3" footer="0.3"/>
  <pageSetup orientation="portrait" horizontalDpi="1200" verticalDpi="1200" r:id="rId1"/>
</worksheet>
</file>

<file path=xl/worksheets/sheet3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D646BAE-C6BE-4C54-BE0C-D422354C0D4D}">
  <sheetPr>
    <tabColor theme="9"/>
  </sheetPr>
  <dimension ref="B2:F29"/>
  <sheetViews>
    <sheetView topLeftCell="A2" workbookViewId="0">
      <selection activeCell="V13" sqref="V13"/>
    </sheetView>
  </sheetViews>
  <sheetFormatPr defaultRowHeight="14.4" x14ac:dyDescent="0.3"/>
  <cols>
    <col min="1" max="1" width="5.6640625" customWidth="1"/>
    <col min="2" max="2" width="23.33203125" customWidth="1"/>
    <col min="3" max="3" width="11.33203125" customWidth="1"/>
    <col min="4" max="4" width="46.33203125" customWidth="1"/>
    <col min="5" max="5" width="12.6640625" hidden="1" customWidth="1"/>
    <col min="6" max="6" width="11.6640625" customWidth="1"/>
    <col min="7" max="7" width="11.5546875" customWidth="1"/>
    <col min="8" max="8" width="12.33203125" customWidth="1"/>
    <col min="9" max="9" width="17.33203125" customWidth="1"/>
    <col min="10" max="10" width="9" customWidth="1"/>
    <col min="11" max="12" width="11.33203125" customWidth="1"/>
    <col min="13" max="13" width="7.33203125" customWidth="1"/>
    <col min="14" max="14" width="9.5546875" customWidth="1"/>
    <col min="15" max="15" width="5" customWidth="1"/>
    <col min="16" max="16" width="9.44140625" customWidth="1"/>
    <col min="17" max="17" width="7.33203125" customWidth="1"/>
    <col min="18" max="18" width="4.33203125" customWidth="1"/>
    <col min="19" max="19" width="6.5546875" customWidth="1"/>
    <col min="20" max="20" width="2.6640625" customWidth="1"/>
    <col min="21" max="21" width="3.33203125" customWidth="1"/>
  </cols>
  <sheetData>
    <row r="2" spans="2:6" ht="15.6" x14ac:dyDescent="0.3">
      <c r="B2" s="1" t="s">
        <v>0</v>
      </c>
    </row>
    <row r="3" spans="2:6" ht="15.6" x14ac:dyDescent="0.3">
      <c r="B3" s="1"/>
    </row>
    <row r="4" spans="2:6" ht="15.6" x14ac:dyDescent="0.3">
      <c r="B4" s="3" t="s">
        <v>205</v>
      </c>
    </row>
    <row r="5" spans="2:6" ht="15.6" x14ac:dyDescent="0.3">
      <c r="B5" s="3" t="str">
        <f>"Reporting Date:  " &amp;('Data Entry'!$B$2)</f>
        <v>Reporting Date:  3/1/2026-3/31/2026</v>
      </c>
      <c r="C5" s="3"/>
    </row>
    <row r="6" spans="2:6" ht="15.6" x14ac:dyDescent="0.3">
      <c r="B6" s="3"/>
    </row>
    <row r="8" spans="2:6" ht="15.6" x14ac:dyDescent="0.3">
      <c r="B8" s="4" t="s">
        <v>1</v>
      </c>
      <c r="D8" s="6"/>
      <c r="F8" s="6"/>
    </row>
    <row r="9" spans="2:6" ht="9.75" customHeight="1" x14ac:dyDescent="0.3">
      <c r="B9" s="4"/>
    </row>
    <row r="10" spans="2:6" ht="15.6" x14ac:dyDescent="0.3">
      <c r="B10" s="10" t="s">
        <v>2</v>
      </c>
      <c r="C10" s="2"/>
      <c r="D10" s="7">
        <f>'Data Entry'!$B$4</f>
        <v>46129</v>
      </c>
    </row>
    <row r="11" spans="2:6" ht="33" customHeight="1" x14ac:dyDescent="0.3">
      <c r="B11" s="8" t="s">
        <v>3</v>
      </c>
      <c r="C11" s="5"/>
      <c r="D11" s="24" t="s">
        <v>19</v>
      </c>
    </row>
    <row r="12" spans="2:6" ht="15.6" x14ac:dyDescent="0.3">
      <c r="B12" s="8" t="s">
        <v>4</v>
      </c>
      <c r="C12" s="5"/>
      <c r="D12" s="5" t="s">
        <v>206</v>
      </c>
    </row>
    <row r="13" spans="2:6" ht="156.6" customHeight="1" x14ac:dyDescent="0.3">
      <c r="B13" s="8" t="s">
        <v>5</v>
      </c>
      <c r="C13" s="5"/>
      <c r="D13" s="25" t="s">
        <v>213</v>
      </c>
    </row>
    <row r="14" spans="2:6" ht="51.75" customHeight="1" x14ac:dyDescent="0.3">
      <c r="B14" s="9" t="s">
        <v>12</v>
      </c>
      <c r="C14" s="8"/>
      <c r="D14" s="25" t="s">
        <v>207</v>
      </c>
    </row>
    <row r="15" spans="2:6" ht="15.6" x14ac:dyDescent="0.3">
      <c r="B15" s="8" t="s">
        <v>6</v>
      </c>
      <c r="C15" s="8"/>
      <c r="D15" s="8" t="s">
        <v>151</v>
      </c>
      <c r="E15" s="17"/>
    </row>
    <row r="16" spans="2:6" ht="15.6" x14ac:dyDescent="0.3">
      <c r="B16" s="8" t="s">
        <v>7</v>
      </c>
      <c r="C16" s="8"/>
      <c r="D16" s="8" t="s">
        <v>149</v>
      </c>
      <c r="E16" s="17"/>
    </row>
    <row r="17" spans="2:5" ht="15.6" x14ac:dyDescent="0.3">
      <c r="B17" s="5"/>
      <c r="C17" s="5"/>
      <c r="D17" s="5"/>
    </row>
    <row r="18" spans="2:5" ht="0.75" customHeight="1" x14ac:dyDescent="0.3">
      <c r="B18" s="2"/>
      <c r="C18" s="2"/>
      <c r="D18" s="2"/>
    </row>
    <row r="19" spans="2:5" ht="81.75" customHeight="1" x14ac:dyDescent="0.3">
      <c r="B19" s="32" t="s">
        <v>208</v>
      </c>
      <c r="C19" s="32"/>
      <c r="D19" s="32"/>
      <c r="E19" s="25"/>
    </row>
    <row r="21" spans="2:5" x14ac:dyDescent="0.3">
      <c r="B21" s="12" t="s">
        <v>9</v>
      </c>
    </row>
    <row r="22" spans="2:5" ht="25.5" customHeight="1" x14ac:dyDescent="0.3">
      <c r="B22" s="26" t="s">
        <v>10</v>
      </c>
    </row>
    <row r="23" spans="2:5" ht="3.75" customHeight="1" x14ac:dyDescent="0.3"/>
    <row r="25" spans="2:5" x14ac:dyDescent="0.3">
      <c r="B25" s="13" t="str">
        <f>"Date: " &amp; " " &amp;TEXT('Data Entry'!$B$6, "MMMM DD, YYY")</f>
        <v>Date:  April 17, 2026</v>
      </c>
      <c r="C25" s="14"/>
      <c r="D25" s="11" t="s">
        <v>152</v>
      </c>
    </row>
    <row r="26" spans="2:5" x14ac:dyDescent="0.3">
      <c r="B26" s="11"/>
      <c r="C26" s="11"/>
      <c r="D26" s="11"/>
    </row>
    <row r="27" spans="2:5" x14ac:dyDescent="0.3">
      <c r="B27" s="11"/>
      <c r="C27" s="11"/>
      <c r="D27" s="15"/>
    </row>
    <row r="28" spans="2:5" x14ac:dyDescent="0.3">
      <c r="B28" s="11"/>
      <c r="C28" s="11"/>
      <c r="D28" s="16" t="str">
        <f>'Data Entry'!$B$7</f>
        <v>Michael Heagerty</v>
      </c>
    </row>
    <row r="29" spans="2:5" x14ac:dyDescent="0.3">
      <c r="B29" s="11"/>
      <c r="C29" s="11"/>
      <c r="D29" s="11" t="str">
        <f>'Data Entry'!$B$8</f>
        <v>Principal</v>
      </c>
    </row>
  </sheetData>
  <mergeCells count="1">
    <mergeCell ref="B19:D19"/>
  </mergeCells>
  <pageMargins left="0.7" right="0.7" top="0.75" bottom="0.75" header="0.3" footer="0.3"/>
  <pageSetup orientation="portrait" horizontalDpi="1200" verticalDpi="1200"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31</vt:i4>
      </vt:variant>
      <vt:variant>
        <vt:lpstr>Named Ranges</vt:lpstr>
      </vt:variant>
      <vt:variant>
        <vt:i4>1</vt:i4>
      </vt:variant>
    </vt:vector>
  </HeadingPairs>
  <TitlesOfParts>
    <vt:vector size="32" baseType="lpstr">
      <vt:lpstr>Instructions</vt:lpstr>
      <vt:lpstr>Data Entry</vt:lpstr>
      <vt:lpstr>2016-C1 CGCMT</vt:lpstr>
      <vt:lpstr>2017-GS7 GSMS</vt:lpstr>
      <vt:lpstr>2017-GS8 GSMS</vt:lpstr>
      <vt:lpstr>2016-C5</vt:lpstr>
      <vt:lpstr>2016-C6</vt:lpstr>
      <vt:lpstr>2019-GC38 GSMS</vt:lpstr>
      <vt:lpstr>2016-C2</vt:lpstr>
      <vt:lpstr>2016-C31</vt:lpstr>
      <vt:lpstr>2016-C35</vt:lpstr>
      <vt:lpstr>2016-JP4</vt:lpstr>
      <vt:lpstr>2016-LC24</vt:lpstr>
      <vt:lpstr>2017-BNK3</vt:lpstr>
      <vt:lpstr>2017-RB1</vt:lpstr>
      <vt:lpstr>2017-JP7 JPMCC</vt:lpstr>
      <vt:lpstr>2017-BNK7 BANK</vt:lpstr>
      <vt:lpstr>2017-C42 WFCM</vt:lpstr>
      <vt:lpstr>2019-BNK16 BANK</vt:lpstr>
      <vt:lpstr>2019-C4 BBCMS</vt:lpstr>
      <vt:lpstr>2019-BNK23 BANK</vt:lpstr>
      <vt:lpstr>2019-BNK24 BANK</vt:lpstr>
      <vt:lpstr>2021-BNK34 BANK</vt:lpstr>
      <vt:lpstr>2021-BNK35 BANK</vt:lpstr>
      <vt:lpstr>2021-BNK38 BANK</vt:lpstr>
      <vt:lpstr>2022-BNK43 BANK</vt:lpstr>
      <vt:lpstr>2025-C64 WFCM</vt:lpstr>
      <vt:lpstr>2025-C12 BMO</vt:lpstr>
      <vt:lpstr>2025-5YR15 BANK5</vt:lpstr>
      <vt:lpstr>2025-5YR18 BANK5</vt:lpstr>
      <vt:lpstr>2025-5C2 MSBAM</vt:lpstr>
      <vt:lpstr>'2019-BNK24 BANK'!Print_Area</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Samuel Gebremedhin</dc:creator>
  <cp:lastModifiedBy>Downer, Anakin</cp:lastModifiedBy>
  <cp:lastPrinted>2026-02-25T16:18:03Z</cp:lastPrinted>
  <dcterms:created xsi:type="dcterms:W3CDTF">2017-01-10T16:45:18Z</dcterms:created>
  <dcterms:modified xsi:type="dcterms:W3CDTF">2026-03-25T14:43:10Z</dcterms:modified>
</cp:coreProperties>
</file>