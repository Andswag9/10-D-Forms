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Periodic" sheetId="2" state="visible" r:id="rId2"/>
    <sheet xmlns:r="http://schemas.openxmlformats.org/officeDocument/2006/relationships" name="Property" sheetId="3" state="visible" r:id="rId3"/>
    <sheet xmlns:r="http://schemas.openxmlformats.org/officeDocument/2006/relationships" name="Supp-Watchlist" sheetId="4" state="visible" r:id="rId4"/>
    <sheet xmlns:r="http://schemas.openxmlformats.org/officeDocument/2006/relationships" name="Supp-DelqLoanSt" sheetId="5" state="visible" r:id="rId5"/>
    <sheet xmlns:r="http://schemas.openxmlformats.org/officeDocument/2006/relationships" name="Supp-REO" sheetId="6" state="visible" r:id="rId6"/>
    <sheet xmlns:r="http://schemas.openxmlformats.org/officeDocument/2006/relationships" name="Supp-HistMod" sheetId="7" state="visible" r:id="rId7"/>
    <sheet xmlns:r="http://schemas.openxmlformats.org/officeDocument/2006/relationships" name="Supp-CompFinan" sheetId="8" state="visible" r:id="rId8"/>
    <sheet xmlns:r="http://schemas.openxmlformats.org/officeDocument/2006/relationships" name="Supp-TotalLoan" sheetId="9" state="visible" r:id="rId9"/>
    <sheet xmlns:r="http://schemas.openxmlformats.org/officeDocument/2006/relationships" name="Supp-ResLOC" sheetId="10" state="visible" r:id="rId10"/>
    <sheet xmlns:r="http://schemas.openxmlformats.org/officeDocument/2006/relationships" name="Financial" sheetId="11" state="visible" r:id="rId11"/>
    <sheet xmlns:r="http://schemas.openxmlformats.org/officeDocument/2006/relationships" name="v2.2 Changes" sheetId="12" state="visible" r:id="rId12"/>
  </sheets>
  <definedNames>
    <definedName name="_xlnm._FilterDatabase" localSheetId="1" hidden="1">'Periodic'!$A$2:$G$2</definedName>
    <definedName name="_xlnm._FilterDatabase" localSheetId="2" hidden="1">'Property'!$A$2:$G$2</definedName>
    <definedName name="_xlnm._FilterDatabase" localSheetId="3" hidden="1">'Supp-Watchlist'!$A$2:$G$2</definedName>
    <definedName name="_xlnm._FilterDatabase" localSheetId="4" hidden="1">'Supp-DelqLoanSt'!$A$2:$G$2</definedName>
    <definedName name="_xlnm._FilterDatabase" localSheetId="5" hidden="1">'Supp-REO'!$A$2:$G$2</definedName>
    <definedName name="_xlnm._FilterDatabase" localSheetId="6" hidden="1">'Supp-HistMod'!$A$2:$G$2</definedName>
    <definedName name="_xlnm._FilterDatabase" localSheetId="7" hidden="1">'Supp-CompFinan'!$A$2:$G$2</definedName>
    <definedName name="_xlnm._FilterDatabase" localSheetId="8" hidden="1">'Supp-TotalLoan'!$A$2:$G$2</definedName>
    <definedName name="_xlnm._FilterDatabase" localSheetId="9" hidden="1">'Supp-ResLOC'!$A$2:$G$2</definedName>
    <definedName name="_xlnm._FilterDatabase" localSheetId="10" hidden="1">'Financial'!$A$2:$G$2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DCDB"/>
      </patternFill>
    </fill>
    <fill>
      <patternFill patternType="solid">
        <fgColor rgb="00375623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CMBS CREFC File Mapping — Cell-by-Cell Reference (v2.2)</t>
        </is>
      </c>
    </row>
    <row r="3">
      <c r="A3" s="2" t="inlineStr">
        <is>
          <t>UPDATE</t>
        </is>
      </c>
      <c r="B3" s="3" t="inlineStr">
        <is>
          <t>Updated from IRP (PIRPXLPU) every month</t>
        </is>
      </c>
    </row>
    <row r="4">
      <c r="A4" s="4" t="inlineStr">
        <is>
          <t>FORMULA</t>
        </is>
      </c>
      <c r="B4" s="3" t="inlineStr">
        <is>
          <t>Formula re-injected by script (not a raw IRP value)</t>
        </is>
      </c>
    </row>
    <row r="5">
      <c r="A5" s="5" t="inlineStr">
        <is>
          <t>STATIC</t>
        </is>
      </c>
      <c r="B5" s="3" t="inlineStr">
        <is>
          <t>Carried forward unchanged from prior month file</t>
        </is>
      </c>
    </row>
    <row r="6">
      <c r="A6" s="6" t="inlineStr">
        <is>
          <t>PIRP</t>
        </is>
      </c>
      <c r="B6" s="3" t="inlineStr">
        <is>
          <t>From PIRPXLLR (Res LOC source)</t>
        </is>
      </c>
    </row>
    <row r="7">
      <c r="A7" s="7" t="inlineStr">
        <is>
          <t>DATE_A1</t>
        </is>
      </c>
      <c r="B7" s="3" t="inlineStr">
        <is>
          <t>A1 multi-line date text — date portion replaced each month</t>
        </is>
      </c>
    </row>
    <row r="8">
      <c r="A8" s="8" t="inlineStr">
        <is>
          <t>COPY</t>
        </is>
      </c>
      <c r="B8" s="3" t="inlineStr">
        <is>
          <t>File copied as-is — NO content changes</t>
        </is>
      </c>
    </row>
    <row r="10">
      <c r="A10" s="9" t="inlineStr">
        <is>
          <t>Script version producing these rules</t>
        </is>
      </c>
      <c r="B10" s="9" t="inlineStr">
        <is>
          <t>cmbs_report.py  v2.2</t>
        </is>
      </c>
    </row>
    <row r="11">
      <c r="A11" s="9" t="inlineStr">
        <is>
          <t>Reference deal</t>
        </is>
      </c>
      <c r="B11" s="9" t="inlineStr">
        <is>
          <t>DBJPM 2017-C6  (Midland / 1 loan / 1 property)</t>
        </is>
      </c>
    </row>
    <row r="12">
      <c r="A12" s="9" t="inlineStr">
        <is>
          <t>Reference files</t>
        </is>
      </c>
      <c r="B12" s="9" t="inlineStr">
        <is>
          <t>2026_03_CREFC_Periodic/Property/Supplemental/Financial_DBJPM_2017-C6.xls</t>
        </is>
      </c>
    </row>
    <row r="13">
      <c r="A13" s="9" t="inlineStr">
        <is>
          <t>Date formats used</t>
        </is>
      </c>
      <c r="B13" s="9" t="inlineStr">
        <is>
          <t>YYYYMMDD float (e.g. 20260312.0)  — all date fields unless noted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CREFC Periodic File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2" t="n">
        <v>1</v>
      </c>
      <c r="B3" s="12" t="inlineStr">
        <is>
          <t>A</t>
        </is>
      </c>
      <c r="C3" s="13" t="inlineStr">
        <is>
          <t>Transaction ID</t>
        </is>
      </c>
      <c r="D3" s="12" t="inlineStr">
        <is>
          <t>STATIC</t>
        </is>
      </c>
      <c r="E3" s="13" t="inlineStr">
        <is>
          <t>Carried fwd</t>
        </is>
      </c>
      <c r="F3" s="12" t="inlineStr">
        <is>
          <t>DBJPM 2017-C6</t>
        </is>
      </c>
      <c r="G3" s="13" t="inlineStr">
        <is>
          <t>Key ID — never changes</t>
        </is>
      </c>
    </row>
    <row r="4" ht="28" customHeight="1">
      <c r="A4" s="12" t="n">
        <v>2</v>
      </c>
      <c r="B4" s="12" t="inlineStr">
        <is>
          <t>B</t>
        </is>
      </c>
      <c r="C4" s="13" t="inlineStr">
        <is>
          <t>Group ID</t>
        </is>
      </c>
      <c r="D4" s="12" t="inlineStr">
        <is>
          <t>STATIC</t>
        </is>
      </c>
      <c r="E4" s="13" t="inlineStr">
        <is>
          <t>Carried fwd</t>
        </is>
      </c>
      <c r="F4" s="12" t="inlineStr">
        <is>
          <t>(empty)</t>
        </is>
      </c>
      <c r="G4" s="13" t="inlineStr">
        <is>
          <t>Blank for single-loan deals</t>
        </is>
      </c>
    </row>
    <row r="5" ht="28" customHeight="1">
      <c r="A5" s="12" t="n">
        <v>3</v>
      </c>
      <c r="B5" s="12" t="inlineStr">
        <is>
          <t>C</t>
        </is>
      </c>
      <c r="C5" s="13" t="inlineStr">
        <is>
          <t>Loan ID</t>
        </is>
      </c>
      <c r="D5" s="12" t="inlineStr">
        <is>
          <t>STATIC</t>
        </is>
      </c>
      <c r="E5" s="13" t="inlineStr">
        <is>
          <t>Carried fwd</t>
        </is>
      </c>
      <c r="F5" s="12" t="inlineStr">
        <is>
          <t>030312685</t>
        </is>
      </c>
      <c r="G5" s="13" t="inlineStr">
        <is>
          <t>9-digit zero-padded; match key</t>
        </is>
      </c>
    </row>
    <row r="6" ht="28" customHeight="1">
      <c r="A6" s="12" t="n">
        <v>4</v>
      </c>
      <c r="B6" s="12" t="inlineStr">
        <is>
          <t>D</t>
        </is>
      </c>
      <c r="C6" s="13" t="inlineStr">
        <is>
          <t>Prospectus Loan ID</t>
        </is>
      </c>
      <c r="D6" s="12" t="inlineStr">
        <is>
          <t>STATIC</t>
        </is>
      </c>
      <c r="E6" s="13" t="inlineStr">
        <is>
          <t>Carried fwd</t>
        </is>
      </c>
      <c r="F6" s="12" t="inlineStr">
        <is>
          <t>030312685</t>
        </is>
      </c>
      <c r="G6" s="13" t="inlineStr">
        <is>
          <t>Same as Loan ID here</t>
        </is>
      </c>
    </row>
    <row r="7" ht="28" customHeight="1">
      <c r="A7" s="14" t="n">
        <v>5</v>
      </c>
      <c r="B7" s="14" t="inlineStr">
        <is>
          <t>E</t>
        </is>
      </c>
      <c r="C7" s="15" t="inlineStr">
        <is>
          <t>Distribution Date</t>
        </is>
      </c>
      <c r="D7" s="14" t="inlineStr">
        <is>
          <t>UPDATE</t>
        </is>
      </c>
      <c r="E7" s="15" t="inlineStr">
        <is>
          <t>IRP col 5 (YYYYMMDD)</t>
        </is>
      </c>
      <c r="F7" s="14" t="inlineStr">
        <is>
          <t>20260312.0</t>
        </is>
      </c>
      <c r="G7" s="15" t="inlineStr">
        <is>
          <t>irp_date_to_yyyymmdd()</t>
        </is>
      </c>
    </row>
    <row r="8" ht="28" customHeight="1">
      <c r="A8" s="14" t="n">
        <v>6</v>
      </c>
      <c r="B8" s="14" t="inlineStr">
        <is>
          <t>F</t>
        </is>
      </c>
      <c r="C8" s="15" t="inlineStr">
        <is>
          <t>Current Beginning Scheduled Balance</t>
        </is>
      </c>
      <c r="D8" s="14" t="inlineStr">
        <is>
          <t>UPDATE</t>
        </is>
      </c>
      <c r="E8" s="15" t="inlineStr">
        <is>
          <t>IRP col 6</t>
        </is>
      </c>
      <c r="F8" s="14" t="inlineStr">
        <is>
          <t>6250000.0</t>
        </is>
      </c>
      <c r="G8" s="15" t="inlineStr"/>
    </row>
    <row r="9" ht="28" customHeight="1">
      <c r="A9" s="16" t="n">
        <v>7</v>
      </c>
      <c r="B9" s="16" t="inlineStr">
        <is>
          <t>G</t>
        </is>
      </c>
      <c r="C9" s="17" t="inlineStr">
        <is>
          <t>Current Ending Scheduled Balance</t>
        </is>
      </c>
      <c r="D9" s="16" t="inlineStr">
        <is>
          <t>FORMULA</t>
        </is>
      </c>
      <c r="E9" s="17" t="inlineStr">
        <is>
          <t>xlwt.Formula('F7-X7')</t>
        </is>
      </c>
      <c r="F9" s="16" t="inlineStr">
        <is>
          <t>6250000.0</t>
        </is>
      </c>
      <c r="G9" s="17">
        <f>F7-X7  (Beg Bal − Principal)</f>
        <v/>
      </c>
    </row>
    <row r="10" ht="28" customHeight="1">
      <c r="A10" s="14" t="n">
        <v>8</v>
      </c>
      <c r="B10" s="14" t="inlineStr">
        <is>
          <t>H</t>
        </is>
      </c>
      <c r="C10" s="15" t="inlineStr">
        <is>
          <t>Paid Through Date</t>
        </is>
      </c>
      <c r="D10" s="14" t="inlineStr">
        <is>
          <t>UPDATE</t>
        </is>
      </c>
      <c r="E10" s="15" t="inlineStr">
        <is>
          <t>IRP col 8 (YYYYMMDD)</t>
        </is>
      </c>
      <c r="F10" s="14" t="inlineStr">
        <is>
          <t>20260306.0</t>
        </is>
      </c>
      <c r="G10" s="15" t="inlineStr">
        <is>
          <t>irp_date_to_yyyymmdd()</t>
        </is>
      </c>
    </row>
    <row r="11" ht="28" customHeight="1">
      <c r="A11" s="12" t="n">
        <v>9</v>
      </c>
      <c r="B11" s="12" t="inlineStr">
        <is>
          <t>I</t>
        </is>
      </c>
      <c r="C11" s="13" t="inlineStr">
        <is>
          <t>Current Index Rate</t>
        </is>
      </c>
      <c r="D11" s="12" t="inlineStr">
        <is>
          <t>STATIC</t>
        </is>
      </c>
      <c r="E11" s="13" t="inlineStr">
        <is>
          <t>Carried fwd</t>
        </is>
      </c>
      <c r="F11" s="12" t="inlineStr">
        <is>
          <t>(empty)</t>
        </is>
      </c>
      <c r="G11" s="13" t="inlineStr">
        <is>
          <t>Fixed rate loans = blank</t>
        </is>
      </c>
    </row>
    <row r="12" ht="28" customHeight="1">
      <c r="A12" s="12" t="n">
        <v>10</v>
      </c>
      <c r="B12" s="12" t="inlineStr">
        <is>
          <t>J</t>
        </is>
      </c>
      <c r="C12" s="13" t="inlineStr">
        <is>
          <t>Current Note Rate</t>
        </is>
      </c>
      <c r="D12" s="12" t="inlineStr">
        <is>
          <t>STATIC</t>
        </is>
      </c>
      <c r="E12" s="13" t="inlineStr">
        <is>
          <t>Carried fwd</t>
        </is>
      </c>
      <c r="F12" s="12" t="inlineStr">
        <is>
          <t>0.0435</t>
        </is>
      </c>
      <c r="G12" s="13" t="inlineStr"/>
    </row>
    <row r="13" ht="28" customHeight="1">
      <c r="A13" s="12" t="n">
        <v>11</v>
      </c>
      <c r="B13" s="12" t="inlineStr">
        <is>
          <t>K</t>
        </is>
      </c>
      <c r="C13" s="13" t="inlineStr">
        <is>
          <t>Maturity Date</t>
        </is>
      </c>
      <c r="D13" s="12" t="inlineStr">
        <is>
          <t>STATIC</t>
        </is>
      </c>
      <c r="E13" s="13" t="inlineStr">
        <is>
          <t>Carried fwd</t>
        </is>
      </c>
      <c r="F13" s="12" t="inlineStr">
        <is>
          <t>20270606.0</t>
        </is>
      </c>
      <c r="G13" s="13" t="inlineStr">
        <is>
          <t>Never changes</t>
        </is>
      </c>
    </row>
    <row r="14" ht="28" customHeight="1">
      <c r="A14" s="12" t="n">
        <v>12</v>
      </c>
      <c r="B14" s="12" t="inlineStr">
        <is>
          <t>L</t>
        </is>
      </c>
      <c r="C14" s="13" t="inlineStr">
        <is>
          <t>Servicer and Trustee Fee Rate</t>
        </is>
      </c>
      <c r="D14" s="12" t="inlineStr">
        <is>
          <t>STATIC</t>
        </is>
      </c>
      <c r="E14" s="13" t="inlineStr">
        <is>
          <t>Carried fwd</t>
        </is>
      </c>
      <c r="F14" s="12" t="inlineStr">
        <is>
          <t>0.0005</t>
        </is>
      </c>
      <c r="G14" s="13" t="inlineStr"/>
    </row>
    <row r="15" ht="28" customHeight="1">
      <c r="A15" s="12" t="n">
        <v>13</v>
      </c>
      <c r="B15" s="12" t="inlineStr">
        <is>
          <t>M</t>
        </is>
      </c>
      <c r="C15" s="13" t="inlineStr">
        <is>
          <t>Fee Rate/Strip Rate 1</t>
        </is>
      </c>
      <c r="D15" s="12" t="inlineStr">
        <is>
          <t>STATIC</t>
        </is>
      </c>
      <c r="E15" s="13" t="inlineStr">
        <is>
          <t>Carried fwd</t>
        </is>
      </c>
      <c r="F15" s="12" t="inlineStr">
        <is>
          <t>(empty)</t>
        </is>
      </c>
      <c r="G15" s="13" t="inlineStr"/>
    </row>
    <row r="16" ht="28" customHeight="1">
      <c r="A16" s="12" t="n">
        <v>14</v>
      </c>
      <c r="B16" s="12" t="inlineStr">
        <is>
          <t>N</t>
        </is>
      </c>
      <c r="C16" s="13" t="inlineStr">
        <is>
          <t>Fee Rate/Strip Rate 2</t>
        </is>
      </c>
      <c r="D16" s="12" t="inlineStr">
        <is>
          <t>STATIC</t>
        </is>
      </c>
      <c r="E16" s="13" t="inlineStr">
        <is>
          <t>Carried fwd</t>
        </is>
      </c>
      <c r="F16" s="12" t="inlineStr">
        <is>
          <t>(empty)</t>
        </is>
      </c>
      <c r="G16" s="13" t="inlineStr"/>
    </row>
    <row r="17" ht="28" customHeight="1">
      <c r="A17" s="12" t="n">
        <v>15</v>
      </c>
      <c r="B17" s="12" t="inlineStr">
        <is>
          <t>O</t>
        </is>
      </c>
      <c r="C17" s="13" t="inlineStr">
        <is>
          <t>Fee Rate/Strip Rate 3</t>
        </is>
      </c>
      <c r="D17" s="12" t="inlineStr">
        <is>
          <t>STATIC</t>
        </is>
      </c>
      <c r="E17" s="13" t="inlineStr">
        <is>
          <t>Carried fwd</t>
        </is>
      </c>
      <c r="F17" s="12" t="inlineStr">
        <is>
          <t>(empty)</t>
        </is>
      </c>
      <c r="G17" s="13" t="inlineStr"/>
    </row>
    <row r="18" ht="28" customHeight="1">
      <c r="A18" s="12" t="n">
        <v>16</v>
      </c>
      <c r="B18" s="12" t="inlineStr">
        <is>
          <t>P</t>
        </is>
      </c>
      <c r="C18" s="13" t="inlineStr">
        <is>
          <t>Fee Rate/Strip Rate 4</t>
        </is>
      </c>
      <c r="D18" s="12" t="inlineStr">
        <is>
          <t>STATIC</t>
        </is>
      </c>
      <c r="E18" s="13" t="inlineStr">
        <is>
          <t>Carried fwd</t>
        </is>
      </c>
      <c r="F18" s="12" t="inlineStr">
        <is>
          <t>(empty)</t>
        </is>
      </c>
      <c r="G18" s="13" t="inlineStr"/>
    </row>
    <row r="19" ht="28" customHeight="1">
      <c r="A19" s="12" t="n">
        <v>17</v>
      </c>
      <c r="B19" s="12" t="inlineStr">
        <is>
          <t>Q</t>
        </is>
      </c>
      <c r="C19" s="13" t="inlineStr">
        <is>
          <t>Fee Rate/Strip Rate 5</t>
        </is>
      </c>
      <c r="D19" s="12" t="inlineStr">
        <is>
          <t>STATIC</t>
        </is>
      </c>
      <c r="E19" s="13" t="inlineStr">
        <is>
          <t>Carried fwd</t>
        </is>
      </c>
      <c r="F19" s="12" t="inlineStr">
        <is>
          <t>(empty)</t>
        </is>
      </c>
      <c r="G19" s="13" t="inlineStr"/>
    </row>
    <row r="20" ht="28" customHeight="1">
      <c r="A20" s="12" t="n">
        <v>18</v>
      </c>
      <c r="B20" s="12" t="inlineStr">
        <is>
          <t>R</t>
        </is>
      </c>
      <c r="C20" s="13" t="inlineStr">
        <is>
          <t>Net Rate</t>
        </is>
      </c>
      <c r="D20" s="12" t="inlineStr">
        <is>
          <t>STATIC</t>
        </is>
      </c>
      <c r="E20" s="13" t="inlineStr">
        <is>
          <t>Carried fwd</t>
        </is>
      </c>
      <c r="F20" s="12" t="inlineStr">
        <is>
          <t>(empty)</t>
        </is>
      </c>
      <c r="G20" s="13" t="inlineStr"/>
    </row>
    <row r="21" ht="28" customHeight="1">
      <c r="A21" s="12" t="n">
        <v>19</v>
      </c>
      <c r="B21" s="12" t="inlineStr">
        <is>
          <t>S</t>
        </is>
      </c>
      <c r="C21" s="13" t="inlineStr">
        <is>
          <t>Next Index Rate</t>
        </is>
      </c>
      <c r="D21" s="12" t="inlineStr">
        <is>
          <t>STATIC</t>
        </is>
      </c>
      <c r="E21" s="13" t="inlineStr">
        <is>
          <t>Carried fwd</t>
        </is>
      </c>
      <c r="F21" s="12" t="inlineStr">
        <is>
          <t>(empty)</t>
        </is>
      </c>
      <c r="G21" s="13" t="inlineStr"/>
    </row>
    <row r="22" ht="28" customHeight="1">
      <c r="A22" s="12" t="n">
        <v>20</v>
      </c>
      <c r="B22" s="12" t="inlineStr">
        <is>
          <t>T</t>
        </is>
      </c>
      <c r="C22" s="13" t="inlineStr">
        <is>
          <t>Next Note Rate</t>
        </is>
      </c>
      <c r="D22" s="12" t="inlineStr">
        <is>
          <t>STATIC</t>
        </is>
      </c>
      <c r="E22" s="13" t="inlineStr">
        <is>
          <t>Carried fwd</t>
        </is>
      </c>
      <c r="F22" s="12" t="inlineStr">
        <is>
          <t>(empty)</t>
        </is>
      </c>
      <c r="G22" s="13" t="inlineStr"/>
    </row>
    <row r="23" ht="28" customHeight="1">
      <c r="A23" s="12" t="n">
        <v>21</v>
      </c>
      <c r="B23" s="12" t="inlineStr">
        <is>
          <t>U</t>
        </is>
      </c>
      <c r="C23" s="13" t="inlineStr">
        <is>
          <t>Next Rate Adjustment Date</t>
        </is>
      </c>
      <c r="D23" s="12" t="inlineStr">
        <is>
          <t>STATIC</t>
        </is>
      </c>
      <c r="E23" s="13" t="inlineStr">
        <is>
          <t>Carried fwd</t>
        </is>
      </c>
      <c r="F23" s="12" t="inlineStr">
        <is>
          <t>(empty)</t>
        </is>
      </c>
      <c r="G23" s="13" t="inlineStr"/>
    </row>
    <row r="24" ht="28" customHeight="1">
      <c r="A24" s="12" t="n">
        <v>22</v>
      </c>
      <c r="B24" s="12" t="inlineStr">
        <is>
          <t>V</t>
        </is>
      </c>
      <c r="C24" s="13" t="inlineStr">
        <is>
          <t>Next Payment Adjustment Date</t>
        </is>
      </c>
      <c r="D24" s="12" t="inlineStr">
        <is>
          <t>STATIC</t>
        </is>
      </c>
      <c r="E24" s="13" t="inlineStr">
        <is>
          <t>Carried fwd</t>
        </is>
      </c>
      <c r="F24" s="12" t="inlineStr">
        <is>
          <t>(empty)</t>
        </is>
      </c>
      <c r="G24" s="13" t="inlineStr"/>
    </row>
    <row r="25" ht="28" customHeight="1">
      <c r="A25" s="14" t="n">
        <v>23</v>
      </c>
      <c r="B25" s="14" t="inlineStr">
        <is>
          <t>W</t>
        </is>
      </c>
      <c r="C25" s="15" t="inlineStr">
        <is>
          <t>Scheduled Interest Amount</t>
        </is>
      </c>
      <c r="D25" s="14" t="inlineStr">
        <is>
          <t>UPDATE</t>
        </is>
      </c>
      <c r="E25" s="15" t="inlineStr">
        <is>
          <t>IRP col 23</t>
        </is>
      </c>
      <c r="F25" s="14" t="inlineStr">
        <is>
          <t>21145.83</t>
        </is>
      </c>
      <c r="G25" s="15" t="inlineStr"/>
    </row>
    <row r="26" ht="28" customHeight="1">
      <c r="A26" s="14" t="n">
        <v>24</v>
      </c>
      <c r="B26" s="14" t="inlineStr">
        <is>
          <t>X</t>
        </is>
      </c>
      <c r="C26" s="15" t="inlineStr">
        <is>
          <t>Scheduled Principal Amount</t>
        </is>
      </c>
      <c r="D26" s="14" t="inlineStr">
        <is>
          <t>UPDATE</t>
        </is>
      </c>
      <c r="E26" s="15" t="inlineStr">
        <is>
          <t>IRP col 24</t>
        </is>
      </c>
      <c r="F26" s="14" t="inlineStr">
        <is>
          <t>0.0</t>
        </is>
      </c>
      <c r="G26" s="15" t="inlineStr"/>
    </row>
    <row r="27" ht="28" customHeight="1">
      <c r="A27" s="16" t="n">
        <v>25</v>
      </c>
      <c r="B27" s="16" t="inlineStr">
        <is>
          <t>Y</t>
        </is>
      </c>
      <c r="C27" s="17" t="inlineStr">
        <is>
          <t>Total Scheduled P&amp;I Due</t>
        </is>
      </c>
      <c r="D27" s="16" t="inlineStr">
        <is>
          <t>FORMULA</t>
        </is>
      </c>
      <c r="E27" s="17" t="inlineStr">
        <is>
          <t>xlwt.Formula('W7+X7')</t>
        </is>
      </c>
      <c r="F27" s="16" t="inlineStr">
        <is>
          <t>21145.83</t>
        </is>
      </c>
      <c r="G27" s="17">
        <f>W7+X7  (Interest + Principal)</f>
        <v/>
      </c>
    </row>
    <row r="28" ht="28" customHeight="1">
      <c r="A28" s="14" t="n">
        <v>26</v>
      </c>
      <c r="B28" s="14" t="inlineStr">
        <is>
          <t>Z</t>
        </is>
      </c>
      <c r="C28" s="15" t="inlineStr">
        <is>
          <t>Negative Amortization/Deferred Interest</t>
        </is>
      </c>
      <c r="D28" s="14" t="inlineStr">
        <is>
          <t>UPDATE</t>
        </is>
      </c>
      <c r="E28" s="15" t="inlineStr">
        <is>
          <t>IRP col 26</t>
        </is>
      </c>
      <c r="F28" s="14" t="inlineStr">
        <is>
          <t>0.0</t>
        </is>
      </c>
      <c r="G28" s="15" t="inlineStr">
        <is>
          <t>In PERIODIC_UPDATE_COLS via IRP</t>
        </is>
      </c>
    </row>
    <row r="29" ht="28" customHeight="1">
      <c r="A29" s="14" t="n">
        <v>27</v>
      </c>
      <c r="B29" s="14" t="inlineStr">
        <is>
          <t>AA</t>
        </is>
      </c>
      <c r="C29" s="15" t="inlineStr">
        <is>
          <t>Unscheduled Principal Collections</t>
        </is>
      </c>
      <c r="D29" s="14" t="inlineStr">
        <is>
          <t>UPDATE</t>
        </is>
      </c>
      <c r="E29" s="15" t="inlineStr">
        <is>
          <t>IRP col 27</t>
        </is>
      </c>
      <c r="F29" s="14" t="inlineStr">
        <is>
          <t>0.0</t>
        </is>
      </c>
      <c r="G29" s="15" t="inlineStr"/>
    </row>
    <row r="30" ht="28" customHeight="1">
      <c r="A30" s="14" t="n">
        <v>28</v>
      </c>
      <c r="B30" s="14" t="inlineStr">
        <is>
          <t>AB</t>
        </is>
      </c>
      <c r="C30" s="15" t="inlineStr">
        <is>
          <t>Other Principal Adjustments</t>
        </is>
      </c>
      <c r="D30" s="14" t="inlineStr">
        <is>
          <t>UPDATE</t>
        </is>
      </c>
      <c r="E30" s="15" t="inlineStr">
        <is>
          <t>IRP col 28</t>
        </is>
      </c>
      <c r="F30" s="14" t="inlineStr">
        <is>
          <t>0.0</t>
        </is>
      </c>
      <c r="G30" s="15" t="inlineStr"/>
    </row>
    <row r="31" ht="28" customHeight="1">
      <c r="A31" s="12" t="n">
        <v>29</v>
      </c>
      <c r="B31" s="12" t="inlineStr">
        <is>
          <t>AC</t>
        </is>
      </c>
      <c r="C31" s="13" t="inlineStr">
        <is>
          <t>Liquidation/Prepayment Date</t>
        </is>
      </c>
      <c r="D31" s="12" t="inlineStr">
        <is>
          <t>STATIC</t>
        </is>
      </c>
      <c r="E31" s="13" t="inlineStr">
        <is>
          <t>Carried fwd</t>
        </is>
      </c>
      <c r="F31" s="12" t="inlineStr">
        <is>
          <t>(empty)</t>
        </is>
      </c>
      <c r="G31" s="13" t="inlineStr"/>
    </row>
    <row r="32" ht="28" customHeight="1">
      <c r="A32" s="14" t="n">
        <v>30</v>
      </c>
      <c r="B32" s="14" t="inlineStr">
        <is>
          <t>AD</t>
        </is>
      </c>
      <c r="C32" s="15" t="inlineStr">
        <is>
          <t>Prepayment Premium/YM Received</t>
        </is>
      </c>
      <c r="D32" s="14" t="inlineStr">
        <is>
          <t>UPDATE</t>
        </is>
      </c>
      <c r="E32" s="15" t="inlineStr">
        <is>
          <t>IRP col 30</t>
        </is>
      </c>
      <c r="F32" s="14" t="inlineStr">
        <is>
          <t>0.0</t>
        </is>
      </c>
      <c r="G32" s="15" t="inlineStr"/>
    </row>
    <row r="33" ht="28" customHeight="1">
      <c r="A33" s="14" t="n">
        <v>31</v>
      </c>
      <c r="B33" s="14" t="inlineStr">
        <is>
          <t>AE</t>
        </is>
      </c>
      <c r="C33" s="15" t="inlineStr">
        <is>
          <t>Prepayment Interest Excess (Shortfall)</t>
        </is>
      </c>
      <c r="D33" s="14" t="inlineStr">
        <is>
          <t>UPDATE</t>
        </is>
      </c>
      <c r="E33" s="15" t="inlineStr">
        <is>
          <t>IRP col 31</t>
        </is>
      </c>
      <c r="F33" s="14" t="inlineStr">
        <is>
          <t>0.0</t>
        </is>
      </c>
      <c r="G33" s="15" t="inlineStr"/>
    </row>
    <row r="34" ht="28" customHeight="1">
      <c r="A34" s="14" t="n">
        <v>32</v>
      </c>
      <c r="B34" s="14" t="inlineStr">
        <is>
          <t>AF</t>
        </is>
      </c>
      <c r="C34" s="15" t="inlineStr">
        <is>
          <t>Liquidation/Prepayment Code</t>
        </is>
      </c>
      <c r="D34" s="14" t="inlineStr">
        <is>
          <t>UPDATE</t>
        </is>
      </c>
      <c r="E34" s="15" t="inlineStr">
        <is>
          <t>IRP col 32</t>
        </is>
      </c>
      <c r="F34" s="14" t="inlineStr">
        <is>
          <t>0.0</t>
        </is>
      </c>
      <c r="G34" s="15" t="inlineStr"/>
    </row>
    <row r="35" ht="28" customHeight="1">
      <c r="A35" s="12" t="n">
        <v>33</v>
      </c>
      <c r="B35" s="12" t="inlineStr">
        <is>
          <t>AG</t>
        </is>
      </c>
      <c r="C35" s="13" t="inlineStr">
        <is>
          <t>Most Recent Net ASER Amount</t>
        </is>
      </c>
      <c r="D35" s="12" t="inlineStr">
        <is>
          <t>STATIC</t>
        </is>
      </c>
      <c r="E35" s="13" t="inlineStr">
        <is>
          <t>Carried fwd</t>
        </is>
      </c>
      <c r="F35" s="12" t="inlineStr">
        <is>
          <t>(empty)</t>
        </is>
      </c>
      <c r="G35" s="13" t="inlineStr"/>
    </row>
    <row r="36" ht="28" customHeight="1">
      <c r="A36" s="12" t="n">
        <v>34</v>
      </c>
      <c r="B36" s="12" t="inlineStr">
        <is>
          <t>AH</t>
        </is>
      </c>
      <c r="C36" s="13" t="inlineStr">
        <is>
          <t>EMPTY FIELD (fka ASER Date)</t>
        </is>
      </c>
      <c r="D36" s="12" t="inlineStr">
        <is>
          <t>STATIC</t>
        </is>
      </c>
      <c r="E36" s="13" t="inlineStr">
        <is>
          <t>Carried fwd</t>
        </is>
      </c>
      <c r="F36" s="12" t="inlineStr">
        <is>
          <t>(empty)</t>
        </is>
      </c>
      <c r="G36" s="13" t="inlineStr"/>
    </row>
    <row r="37" ht="28" customHeight="1">
      <c r="A37" s="12" t="n">
        <v>35</v>
      </c>
      <c r="B37" s="12" t="inlineStr">
        <is>
          <t>AI</t>
        </is>
      </c>
      <c r="C37" s="13" t="inlineStr">
        <is>
          <t>Cumulative ASER Amount</t>
        </is>
      </c>
      <c r="D37" s="12" t="inlineStr">
        <is>
          <t>STATIC</t>
        </is>
      </c>
      <c r="E37" s="13" t="inlineStr">
        <is>
          <t>Carried fwd</t>
        </is>
      </c>
      <c r="F37" s="12" t="inlineStr">
        <is>
          <t>(empty)</t>
        </is>
      </c>
      <c r="G37" s="13" t="inlineStr"/>
    </row>
    <row r="38" ht="28" customHeight="1">
      <c r="A38" s="16" t="n">
        <v>36</v>
      </c>
      <c r="B38" s="16" t="inlineStr">
        <is>
          <t>AJ</t>
        </is>
      </c>
      <c r="C38" s="17" t="inlineStr">
        <is>
          <t>Actual Balance</t>
        </is>
      </c>
      <c r="D38" s="16" t="inlineStr">
        <is>
          <t>FORMULA</t>
        </is>
      </c>
      <c r="E38" s="17" t="inlineStr">
        <is>
          <t>xlwt.Formula('F7-X7')</t>
        </is>
      </c>
      <c r="F38" s="16" t="inlineStr">
        <is>
          <t>6250000.0</t>
        </is>
      </c>
      <c r="G38" s="17">
        <f>F7-X7  (same formula as G)</f>
        <v/>
      </c>
    </row>
    <row r="39" ht="28" customHeight="1">
      <c r="A39" s="14" t="n">
        <v>37</v>
      </c>
      <c r="B39" s="14" t="inlineStr">
        <is>
          <t>AK</t>
        </is>
      </c>
      <c r="C39" s="15" t="inlineStr">
        <is>
          <t>Total P&amp;I Advance Outstanding</t>
        </is>
      </c>
      <c r="D39" s="14" t="inlineStr">
        <is>
          <t>UPDATE</t>
        </is>
      </c>
      <c r="E39" s="15" t="inlineStr">
        <is>
          <t>IRP col 37</t>
        </is>
      </c>
      <c r="F39" s="14" t="inlineStr">
        <is>
          <t>0.0</t>
        </is>
      </c>
      <c r="G39" s="15" t="inlineStr"/>
    </row>
    <row r="40" ht="28" customHeight="1">
      <c r="A40" s="14" t="n">
        <v>38</v>
      </c>
      <c r="B40" s="14" t="inlineStr">
        <is>
          <t>AL</t>
        </is>
      </c>
      <c r="C40" s="15" t="inlineStr">
        <is>
          <t>Total T&amp;I Advance Outstanding</t>
        </is>
      </c>
      <c r="D40" s="14" t="inlineStr">
        <is>
          <t>UPDATE</t>
        </is>
      </c>
      <c r="E40" s="15" t="inlineStr">
        <is>
          <t>IRP col 38</t>
        </is>
      </c>
      <c r="F40" s="14" t="inlineStr">
        <is>
          <t>0.0</t>
        </is>
      </c>
      <c r="G40" s="15" t="inlineStr"/>
    </row>
    <row r="41" ht="28" customHeight="1">
      <c r="A41" s="14" t="n">
        <v>39</v>
      </c>
      <c r="B41" s="14" t="inlineStr">
        <is>
          <t>AM</t>
        </is>
      </c>
      <c r="C41" s="15" t="inlineStr">
        <is>
          <t>Other Expense Advance Outstanding</t>
        </is>
      </c>
      <c r="D41" s="14" t="inlineStr">
        <is>
          <t>UPDATE</t>
        </is>
      </c>
      <c r="E41" s="15" t="inlineStr">
        <is>
          <t>IRP col 39</t>
        </is>
      </c>
      <c r="F41" s="14" t="inlineStr">
        <is>
          <t>0.0</t>
        </is>
      </c>
      <c r="G41" s="15" t="inlineStr"/>
    </row>
    <row r="42" ht="28" customHeight="1">
      <c r="A42" s="14" t="n">
        <v>40</v>
      </c>
      <c r="B42" s="14" t="inlineStr">
        <is>
          <t>AN</t>
        </is>
      </c>
      <c r="C42" s="15" t="inlineStr">
        <is>
          <t>Payment Status of Loan</t>
        </is>
      </c>
      <c r="D42" s="14" t="inlineStr">
        <is>
          <t>UPDATE</t>
        </is>
      </c>
      <c r="E42" s="15" t="inlineStr">
        <is>
          <t>IRP col 40</t>
        </is>
      </c>
      <c r="F42" s="14" t="inlineStr">
        <is>
          <t>0.0</t>
        </is>
      </c>
      <c r="G42" s="15" t="inlineStr"/>
    </row>
    <row r="43" ht="28" customHeight="1">
      <c r="A43" s="12" t="n">
        <v>41</v>
      </c>
      <c r="B43" s="12" t="inlineStr">
        <is>
          <t>AO</t>
        </is>
      </c>
      <c r="C43" s="13" t="inlineStr">
        <is>
          <t>In Bankruptcy (Y/N)</t>
        </is>
      </c>
      <c r="D43" s="12" t="inlineStr">
        <is>
          <t>STATIC</t>
        </is>
      </c>
      <c r="E43" s="13" t="inlineStr">
        <is>
          <t>Carried fwd</t>
        </is>
      </c>
      <c r="F43" s="12" t="inlineStr">
        <is>
          <t>N</t>
        </is>
      </c>
      <c r="G43" s="13" t="inlineStr"/>
    </row>
    <row r="44" ht="28" customHeight="1">
      <c r="A44" s="14" t="n">
        <v>104</v>
      </c>
      <c r="B44" s="14" t="inlineStr">
        <is>
          <t>CZ</t>
        </is>
      </c>
      <c r="C44" s="15" t="inlineStr">
        <is>
          <t>Total Reserve Balance</t>
        </is>
      </c>
      <c r="D44" s="14" t="inlineStr">
        <is>
          <t>UPDATE</t>
        </is>
      </c>
      <c r="E44" s="15" t="inlineStr">
        <is>
          <t>IRP col 104</t>
        </is>
      </c>
      <c r="F44" s="14" t="inlineStr">
        <is>
          <t>399109.42</t>
        </is>
      </c>
      <c r="G44" s="15" t="inlineStr">
        <is>
          <t>cfg.IRP_COL_TOTAL_RES</t>
        </is>
      </c>
    </row>
    <row r="45" ht="28" customHeight="1">
      <c r="A45" s="12" t="n">
        <v>133</v>
      </c>
      <c r="B45" s="12" t="inlineStr">
        <is>
          <t>EC</t>
        </is>
      </c>
      <c r="C45" s="13" t="inlineStr">
        <is>
          <t>Master Servicer</t>
        </is>
      </c>
      <c r="D45" s="12" t="inlineStr">
        <is>
          <t>STATIC</t>
        </is>
      </c>
      <c r="E45" s="13" t="inlineStr">
        <is>
          <t>Carried fwd</t>
        </is>
      </c>
      <c r="F45" s="12" t="inlineStr">
        <is>
          <t>Midland Loan...</t>
        </is>
      </c>
      <c r="G45" s="13" t="inlineStr">
        <is>
          <t>Note: cfg comment says 'EE' but actual col = EC</t>
        </is>
      </c>
    </row>
    <row r="46" ht="28" customHeight="1">
      <c r="A46" s="12" t="n">
        <v>134</v>
      </c>
      <c r="B46" s="12" t="inlineStr">
        <is>
          <t>ED</t>
        </is>
      </c>
      <c r="C46" s="13" t="inlineStr">
        <is>
          <t>Special Servicer</t>
        </is>
      </c>
      <c r="D46" s="12" t="inlineStr">
        <is>
          <t>STATIC</t>
        </is>
      </c>
      <c r="E46" s="13" t="inlineStr">
        <is>
          <t>Carried fwd</t>
        </is>
      </c>
      <c r="F46" s="12" t="inlineStr">
        <is>
          <t>Midland Loan...</t>
        </is>
      </c>
      <c r="G46" s="13" t="inlineStr"/>
    </row>
    <row r="47" ht="28" customHeight="1">
      <c r="A47" s="14" t="n">
        <v>135</v>
      </c>
      <c r="B47" s="14" t="inlineStr">
        <is>
          <t>EE</t>
        </is>
      </c>
      <c r="C47" s="15" t="inlineStr">
        <is>
          <t>Reporting Period Begin Date</t>
        </is>
      </c>
      <c r="D47" s="14" t="inlineStr">
        <is>
          <t>UPDATE</t>
        </is>
      </c>
      <c r="E47" s="15" t="inlineStr">
        <is>
          <t>IRP col 135 (YYYYMMDD)</t>
        </is>
      </c>
      <c r="F47" s="14" t="inlineStr">
        <is>
          <t>20260207.0</t>
        </is>
      </c>
      <c r="G47" s="15" t="inlineStr">
        <is>
          <t>irp_date_to_yyyymmdd()</t>
        </is>
      </c>
    </row>
    <row r="48" ht="28" customHeight="1">
      <c r="A48" s="14" t="n">
        <v>136</v>
      </c>
      <c r="B48" s="14" t="inlineStr">
        <is>
          <t>EF</t>
        </is>
      </c>
      <c r="C48" s="15" t="inlineStr">
        <is>
          <t>Reporting Period End Date</t>
        </is>
      </c>
      <c r="D48" s="14" t="inlineStr">
        <is>
          <t>UPDATE</t>
        </is>
      </c>
      <c r="E48" s="15" t="inlineStr">
        <is>
          <t>IRP col 136 (YYYYMMDD)</t>
        </is>
      </c>
      <c r="F48" s="14" t="inlineStr">
        <is>
          <t>20260306.0</t>
        </is>
      </c>
      <c r="G48" s="15" t="inlineStr">
        <is>
          <t>irp_date_to_yyyymmdd()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CREFC Property File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2" t="n">
        <v>1</v>
      </c>
      <c r="B3" s="12" t="inlineStr">
        <is>
          <t>A</t>
        </is>
      </c>
      <c r="C3" s="13" t="inlineStr">
        <is>
          <t>Transaction ID</t>
        </is>
      </c>
      <c r="D3" s="12" t="inlineStr">
        <is>
          <t>STATIC</t>
        </is>
      </c>
      <c r="E3" s="13" t="inlineStr">
        <is>
          <t>Carried fwd</t>
        </is>
      </c>
      <c r="F3" s="12" t="inlineStr">
        <is>
          <t>DBJPM 2017-C6</t>
        </is>
      </c>
      <c r="G3" s="13" t="inlineStr"/>
    </row>
    <row r="4" ht="28" customHeight="1">
      <c r="A4" s="12" t="n">
        <v>2</v>
      </c>
      <c r="B4" s="12" t="inlineStr">
        <is>
          <t>B</t>
        </is>
      </c>
      <c r="C4" s="13" t="inlineStr">
        <is>
          <t>Loan ID</t>
        </is>
      </c>
      <c r="D4" s="12" t="inlineStr">
        <is>
          <t>STATIC</t>
        </is>
      </c>
      <c r="E4" s="13" t="inlineStr">
        <is>
          <t>Carried fwd</t>
        </is>
      </c>
      <c r="F4" s="12" t="inlineStr">
        <is>
          <t>030312685</t>
        </is>
      </c>
      <c r="G4" s="13" t="inlineStr">
        <is>
          <t>Match key</t>
        </is>
      </c>
    </row>
    <row r="5" ht="28" customHeight="1">
      <c r="A5" s="12" t="n">
        <v>3</v>
      </c>
      <c r="B5" s="12" t="inlineStr">
        <is>
          <t>C</t>
        </is>
      </c>
      <c r="C5" s="13" t="inlineStr">
        <is>
          <t>Prospectus Loan ID</t>
        </is>
      </c>
      <c r="D5" s="12" t="inlineStr">
        <is>
          <t>STATIC</t>
        </is>
      </c>
      <c r="E5" s="13" t="inlineStr">
        <is>
          <t>Carried fwd</t>
        </is>
      </c>
      <c r="F5" s="12" t="inlineStr">
        <is>
          <t>030312685</t>
        </is>
      </c>
      <c r="G5" s="13" t="inlineStr"/>
    </row>
    <row r="6" ht="28" customHeight="1">
      <c r="A6" s="12" t="n">
        <v>4</v>
      </c>
      <c r="B6" s="12" t="inlineStr">
        <is>
          <t>D</t>
        </is>
      </c>
      <c r="C6" s="13" t="inlineStr">
        <is>
          <t>Property ID</t>
        </is>
      </c>
      <c r="D6" s="12" t="inlineStr">
        <is>
          <t>STATIC</t>
        </is>
      </c>
      <c r="E6" s="13" t="inlineStr">
        <is>
          <t>Carried fwd</t>
        </is>
      </c>
      <c r="F6" s="12" t="inlineStr">
        <is>
          <t>436 Bryant LLC</t>
        </is>
      </c>
      <c r="G6" s="13" t="inlineStr">
        <is>
          <t>Property name used as ID</t>
        </is>
      </c>
    </row>
    <row r="7" ht="28" customHeight="1">
      <c r="A7" s="14" t="n">
        <v>5</v>
      </c>
      <c r="B7" s="14" t="inlineStr">
        <is>
          <t>E</t>
        </is>
      </c>
      <c r="C7" s="15" t="inlineStr">
        <is>
          <t>Distribution Date</t>
        </is>
      </c>
      <c r="D7" s="14" t="inlineStr">
        <is>
          <t>UPDATE</t>
        </is>
      </c>
      <c r="E7" s="15" t="inlineStr">
        <is>
          <t>IRP col 5 (YYYYMMDD)</t>
        </is>
      </c>
      <c r="F7" s="14" t="inlineStr">
        <is>
          <t>20260312.0</t>
        </is>
      </c>
      <c r="G7" s="15" t="inlineStr">
        <is>
          <t>irp_date_to_yyyymmdd()</t>
        </is>
      </c>
    </row>
    <row r="8" ht="28" customHeight="1">
      <c r="A8" s="12" t="n">
        <v>6</v>
      </c>
      <c r="B8" s="12" t="inlineStr">
        <is>
          <t>F</t>
        </is>
      </c>
      <c r="C8" s="13" t="inlineStr">
        <is>
          <t>Cross-Collateralized Loan Grouping</t>
        </is>
      </c>
      <c r="D8" s="12" t="inlineStr">
        <is>
          <t>STATIC</t>
        </is>
      </c>
      <c r="E8" s="13" t="inlineStr">
        <is>
          <t>Carried fwd</t>
        </is>
      </c>
      <c r="F8" s="12" t="inlineStr">
        <is>
          <t>(empty)</t>
        </is>
      </c>
      <c r="G8" s="13" t="inlineStr"/>
    </row>
    <row r="9" ht="28" customHeight="1">
      <c r="A9" s="12" t="n">
        <v>7</v>
      </c>
      <c r="B9" s="12" t="inlineStr">
        <is>
          <t>G</t>
        </is>
      </c>
      <c r="C9" s="13" t="inlineStr">
        <is>
          <t>Property Name</t>
        </is>
      </c>
      <c r="D9" s="12" t="inlineStr">
        <is>
          <t>STATIC</t>
        </is>
      </c>
      <c r="E9" s="13" t="inlineStr">
        <is>
          <t>Carried fwd</t>
        </is>
      </c>
      <c r="F9" s="12" t="inlineStr">
        <is>
          <t>436 Bryant</t>
        </is>
      </c>
      <c r="G9" s="13" t="inlineStr"/>
    </row>
    <row r="10" ht="28" customHeight="1">
      <c r="A10" s="12" t="n">
        <v>8</v>
      </c>
      <c r="B10" s="12" t="inlineStr">
        <is>
          <t>H</t>
        </is>
      </c>
      <c r="C10" s="13" t="inlineStr">
        <is>
          <t>Property Address</t>
        </is>
      </c>
      <c r="D10" s="12" t="inlineStr">
        <is>
          <t>STATIC</t>
        </is>
      </c>
      <c r="E10" s="13" t="inlineStr">
        <is>
          <t>Carried fwd</t>
        </is>
      </c>
      <c r="F10" s="12" t="inlineStr">
        <is>
          <t>436 Bryant St</t>
        </is>
      </c>
      <c r="G10" s="13" t="inlineStr"/>
    </row>
    <row r="11" ht="28" customHeight="1">
      <c r="A11" s="12" t="n">
        <v>9</v>
      </c>
      <c r="B11" s="12" t="inlineStr">
        <is>
          <t>I</t>
        </is>
      </c>
      <c r="C11" s="13" t="inlineStr">
        <is>
          <t>Property City</t>
        </is>
      </c>
      <c r="D11" s="12" t="inlineStr">
        <is>
          <t>STATIC</t>
        </is>
      </c>
      <c r="E11" s="13" t="inlineStr">
        <is>
          <t>Carried fwd</t>
        </is>
      </c>
      <c r="F11" s="12" t="inlineStr">
        <is>
          <t>San Francisco</t>
        </is>
      </c>
      <c r="G11" s="13" t="inlineStr"/>
    </row>
    <row r="12" ht="28" customHeight="1">
      <c r="A12" s="12" t="n">
        <v>10</v>
      </c>
      <c r="B12" s="12" t="inlineStr">
        <is>
          <t>J</t>
        </is>
      </c>
      <c r="C12" s="13" t="inlineStr">
        <is>
          <t>Property State</t>
        </is>
      </c>
      <c r="D12" s="12" t="inlineStr">
        <is>
          <t>STATIC</t>
        </is>
      </c>
      <c r="E12" s="13" t="inlineStr">
        <is>
          <t>Carried fwd</t>
        </is>
      </c>
      <c r="F12" s="12" t="inlineStr">
        <is>
          <t>CA</t>
        </is>
      </c>
      <c r="G12" s="13" t="inlineStr"/>
    </row>
    <row r="13" ht="28" customHeight="1">
      <c r="A13" s="12" t="n">
        <v>11</v>
      </c>
      <c r="B13" s="12" t="inlineStr">
        <is>
          <t>K</t>
        </is>
      </c>
      <c r="C13" s="13" t="inlineStr">
        <is>
          <t>Property Zip Code</t>
        </is>
      </c>
      <c r="D13" s="12" t="inlineStr">
        <is>
          <t>STATIC</t>
        </is>
      </c>
      <c r="E13" s="13" t="inlineStr">
        <is>
          <t>Carried fwd</t>
        </is>
      </c>
      <c r="F13" s="12" t="inlineStr">
        <is>
          <t>94107</t>
        </is>
      </c>
      <c r="G13" s="13" t="inlineStr">
        <is>
          <t>Stored as number</t>
        </is>
      </c>
    </row>
    <row r="14" ht="28" customHeight="1">
      <c r="A14" s="12" t="n">
        <v>12</v>
      </c>
      <c r="B14" s="12" t="inlineStr">
        <is>
          <t>L</t>
        </is>
      </c>
      <c r="C14" s="13" t="inlineStr">
        <is>
          <t>Property County</t>
        </is>
      </c>
      <c r="D14" s="12" t="inlineStr">
        <is>
          <t>STATIC</t>
        </is>
      </c>
      <c r="E14" s="13" t="inlineStr">
        <is>
          <t>Carried fwd</t>
        </is>
      </c>
      <c r="F14" s="12" t="inlineStr">
        <is>
          <t>San Francisco</t>
        </is>
      </c>
      <c r="G14" s="13" t="inlineStr"/>
    </row>
    <row r="15" ht="28" customHeight="1">
      <c r="A15" s="12" t="n">
        <v>13</v>
      </c>
      <c r="B15" s="12" t="inlineStr">
        <is>
          <t>M</t>
        </is>
      </c>
      <c r="C15" s="13" t="inlineStr">
        <is>
          <t>Property Type</t>
        </is>
      </c>
      <c r="D15" s="12" t="inlineStr">
        <is>
          <t>STATIC</t>
        </is>
      </c>
      <c r="E15" s="13" t="inlineStr">
        <is>
          <t>Carried fwd</t>
        </is>
      </c>
      <c r="F15" s="12" t="inlineStr">
        <is>
          <t>OF</t>
        </is>
      </c>
      <c r="G15" s="13" t="inlineStr">
        <is>
          <t>Office</t>
        </is>
      </c>
    </row>
    <row r="16" ht="28" customHeight="1">
      <c r="A16" s="12" t="n">
        <v>16</v>
      </c>
      <c r="B16" s="12" t="inlineStr">
        <is>
          <t>P</t>
        </is>
      </c>
      <c r="C16" s="13" t="inlineStr">
        <is>
          <t>Current Net Rentable Sq Ft</t>
        </is>
      </c>
      <c r="D16" s="12" t="inlineStr">
        <is>
          <t>STATIC</t>
        </is>
      </c>
      <c r="E16" s="13" t="inlineStr">
        <is>
          <t>Carried fwd</t>
        </is>
      </c>
      <c r="F16" s="12" t="inlineStr">
        <is>
          <t>8023</t>
        </is>
      </c>
      <c r="G16" s="13" t="inlineStr"/>
    </row>
    <row r="17" ht="28" customHeight="1">
      <c r="A17" s="12" t="n">
        <v>18</v>
      </c>
      <c r="B17" s="12" t="inlineStr">
        <is>
          <t>R</t>
        </is>
      </c>
      <c r="C17" s="13" t="inlineStr">
        <is>
          <t>Property Status</t>
        </is>
      </c>
      <c r="D17" s="12" t="inlineStr">
        <is>
          <t>STATIC</t>
        </is>
      </c>
      <c r="E17" s="13" t="inlineStr">
        <is>
          <t>Carried fwd</t>
        </is>
      </c>
      <c r="F17" s="12" t="inlineStr">
        <is>
          <t>6</t>
        </is>
      </c>
      <c r="G17" s="13" t="inlineStr"/>
    </row>
    <row r="18" ht="28" customHeight="1">
      <c r="A18" s="12" t="n">
        <v>19</v>
      </c>
      <c r="B18" s="12" t="inlineStr">
        <is>
          <t>S</t>
        </is>
      </c>
      <c r="C18" s="13" t="inlineStr">
        <is>
          <t>Allocated Pct of Loan at Contribution</t>
        </is>
      </c>
      <c r="D18" s="12" t="inlineStr">
        <is>
          <t>STATIC</t>
        </is>
      </c>
      <c r="E18" s="13" t="inlineStr">
        <is>
          <t>Carried fwd</t>
        </is>
      </c>
      <c r="F18" s="12" t="inlineStr">
        <is>
          <t>100.0</t>
        </is>
      </c>
      <c r="G18" s="13" t="inlineStr"/>
    </row>
    <row r="19" ht="28" customHeight="1">
      <c r="A19" s="12" t="n">
        <v>20</v>
      </c>
      <c r="B19" s="12" t="inlineStr">
        <is>
          <t>T</t>
        </is>
      </c>
      <c r="C19" s="13" t="inlineStr">
        <is>
          <t>Current Allocated Percentage</t>
        </is>
      </c>
      <c r="D19" s="12" t="inlineStr">
        <is>
          <t>STATIC</t>
        </is>
      </c>
      <c r="E19" s="13" t="inlineStr">
        <is>
          <t>Carried fwd</t>
        </is>
      </c>
      <c r="F19" s="12" t="inlineStr">
        <is>
          <t>100.0</t>
        </is>
      </c>
      <c r="G19" s="13" t="inlineStr"/>
    </row>
    <row r="20" ht="28" customHeight="1">
      <c r="A20" s="14" t="n">
        <v>21</v>
      </c>
      <c r="B20" s="14" t="inlineStr">
        <is>
          <t>U</t>
        </is>
      </c>
      <c r="C20" s="15" t="inlineStr">
        <is>
          <t>Current Allocated Ending Scheduled Loan Amt</t>
        </is>
      </c>
      <c r="D20" s="14" t="inlineStr">
        <is>
          <t>UPDATE</t>
        </is>
      </c>
      <c r="E20" s="15" t="inlineStr">
        <is>
          <t>IRP col 7 × (col T/100)</t>
        </is>
      </c>
      <c r="F20" s="14" t="inlineStr">
        <is>
          <t>6250000.0</t>
        </is>
      </c>
      <c r="G20" s="15" t="inlineStr">
        <is>
          <t>Ending Bal × Alloc%. If Alloc%=100 → = Ending Bal</t>
        </is>
      </c>
    </row>
    <row r="21" ht="28" customHeight="1">
      <c r="A21" s="12" t="n">
        <v>22</v>
      </c>
      <c r="B21" s="12" t="inlineStr">
        <is>
          <t>V</t>
        </is>
      </c>
      <c r="C21" s="13" t="inlineStr">
        <is>
          <t>Ground Lease (Y/N/S)</t>
        </is>
      </c>
      <c r="D21" s="12" t="inlineStr">
        <is>
          <t>STATIC</t>
        </is>
      </c>
      <c r="E21" s="13" t="inlineStr">
        <is>
          <t>Carried fwd</t>
        </is>
      </c>
      <c r="F21" s="12" t="inlineStr">
        <is>
          <t>N</t>
        </is>
      </c>
      <c r="G21" s="13" t="inlineStr"/>
    </row>
    <row r="22" ht="28" customHeight="1">
      <c r="A22" s="12" t="n">
        <v>29</v>
      </c>
      <c r="B22" s="12" t="inlineStr">
        <is>
          <t>AC</t>
        </is>
      </c>
      <c r="C22" s="13" t="inlineStr">
        <is>
          <t>Most Recent Physical Occupancy</t>
        </is>
      </c>
      <c r="D22" s="12" t="inlineStr">
        <is>
          <t>STATIC</t>
        </is>
      </c>
      <c r="E22" s="13" t="inlineStr">
        <is>
          <t>Carried fwd</t>
        </is>
      </c>
      <c r="F22" s="12" t="inlineStr">
        <is>
          <t>100.0</t>
        </is>
      </c>
      <c r="G22" s="13" t="inlineStr">
        <is>
          <t>From servicer — only when new inspection</t>
        </is>
      </c>
    </row>
    <row r="23" ht="28" customHeight="1">
      <c r="A23" s="12" t="n">
        <v>30</v>
      </c>
      <c r="B23" s="12" t="inlineStr">
        <is>
          <t>AD</t>
        </is>
      </c>
      <c r="C23" s="13" t="inlineStr">
        <is>
          <t>Most Recent Occupancy As Of Date</t>
        </is>
      </c>
      <c r="D23" s="12" t="inlineStr">
        <is>
          <t>STATIC</t>
        </is>
      </c>
      <c r="E23" s="13" t="inlineStr">
        <is>
          <t>Carried fwd</t>
        </is>
      </c>
      <c r="F23" s="12" t="inlineStr">
        <is>
          <t>20250930.0</t>
        </is>
      </c>
      <c r="G23" s="13" t="inlineStr"/>
    </row>
    <row r="24" ht="28" customHeight="1">
      <c r="A24" s="12" t="n">
        <v>31</v>
      </c>
      <c r="B24" s="12" t="inlineStr">
        <is>
          <t>AE</t>
        </is>
      </c>
      <c r="C24" s="13" t="inlineStr">
        <is>
          <t>Date Lease Rollover Review</t>
        </is>
      </c>
      <c r="D24" s="12" t="inlineStr">
        <is>
          <t>STATIC</t>
        </is>
      </c>
      <c r="E24" s="13" t="inlineStr">
        <is>
          <t>Carried fwd</t>
        </is>
      </c>
      <c r="F24" s="12" t="inlineStr">
        <is>
          <t>20251110.0</t>
        </is>
      </c>
      <c r="G24" s="13" t="inlineStr"/>
    </row>
    <row r="25" ht="28" customHeight="1">
      <c r="A25" s="12" t="n">
        <v>32</v>
      </c>
      <c r="B25" s="12" t="inlineStr">
        <is>
          <t>AF</t>
        </is>
      </c>
      <c r="C25" s="13" t="inlineStr">
        <is>
          <t>Pct Sq Ft expiring 1-12 mo</t>
        </is>
      </c>
      <c r="D25" s="12" t="inlineStr">
        <is>
          <t>STATIC</t>
        </is>
      </c>
      <c r="E25" s="13" t="inlineStr">
        <is>
          <t>Carried fwd</t>
        </is>
      </c>
      <c r="F25" s="12" t="inlineStr">
        <is>
          <t>0.0</t>
        </is>
      </c>
      <c r="G25" s="13" t="inlineStr"/>
    </row>
    <row r="26" ht="28" customHeight="1">
      <c r="A26" s="12" t="n">
        <v>33</v>
      </c>
      <c r="B26" s="12" t="inlineStr">
        <is>
          <t>AG</t>
        </is>
      </c>
      <c r="C26" s="13" t="inlineStr">
        <is>
          <t>Pct Sq Ft expiring 13-24 mo</t>
        </is>
      </c>
      <c r="D26" s="12" t="inlineStr">
        <is>
          <t>STATIC</t>
        </is>
      </c>
      <c r="E26" s="13" t="inlineStr">
        <is>
          <t>Carried fwd</t>
        </is>
      </c>
      <c r="F26" s="12" t="inlineStr">
        <is>
          <t>100.0</t>
        </is>
      </c>
      <c r="G26" s="13" t="inlineStr"/>
    </row>
    <row r="27" ht="28" customHeight="1">
      <c r="A27" s="12" t="n">
        <v>37</v>
      </c>
      <c r="B27" s="12" t="inlineStr">
        <is>
          <t>AK</t>
        </is>
      </c>
      <c r="C27" s="13" t="inlineStr">
        <is>
          <t>Largest Tenant</t>
        </is>
      </c>
      <c r="D27" s="12" t="inlineStr">
        <is>
          <t>STATIC</t>
        </is>
      </c>
      <c r="E27" s="13" t="inlineStr">
        <is>
          <t>Carried fwd</t>
        </is>
      </c>
      <c r="F27" s="12" t="inlineStr">
        <is>
          <t>AxionBio Inc.</t>
        </is>
      </c>
      <c r="G27" s="13" t="inlineStr"/>
    </row>
    <row r="28" ht="28" customHeight="1">
      <c r="A28" s="12" t="n">
        <v>38</v>
      </c>
      <c r="B28" s="12" t="inlineStr">
        <is>
          <t>AL</t>
        </is>
      </c>
      <c r="C28" s="13" t="inlineStr">
        <is>
          <t>Sq Ft of Largest Tenant</t>
        </is>
      </c>
      <c r="D28" s="12" t="inlineStr">
        <is>
          <t>STATIC</t>
        </is>
      </c>
      <c r="E28" s="13" t="inlineStr">
        <is>
          <t>Carried fwd</t>
        </is>
      </c>
      <c r="F28" s="12" t="inlineStr">
        <is>
          <t>2727</t>
        </is>
      </c>
      <c r="G28" s="13" t="inlineStr"/>
    </row>
    <row r="29" ht="28" customHeight="1">
      <c r="A29" s="12" t="n">
        <v>52</v>
      </c>
      <c r="B29" s="12" t="inlineStr">
        <is>
          <t>AZ</t>
        </is>
      </c>
      <c r="C29" s="13" t="inlineStr">
        <is>
          <t>Date of Last Inspection</t>
        </is>
      </c>
      <c r="D29" s="12" t="inlineStr">
        <is>
          <t>STATIC</t>
        </is>
      </c>
      <c r="E29" s="13" t="inlineStr">
        <is>
          <t>Carried fwd</t>
        </is>
      </c>
      <c r="F29" s="12" t="inlineStr">
        <is>
          <t>20251022.0</t>
        </is>
      </c>
      <c r="G29" s="13" t="inlineStr">
        <is>
          <t>Updated when new inspection done</t>
        </is>
      </c>
    </row>
    <row r="30" ht="28" customHeight="1">
      <c r="A30" s="12" t="n">
        <v>53</v>
      </c>
      <c r="B30" s="12" t="inlineStr">
        <is>
          <t>BA</t>
        </is>
      </c>
      <c r="C30" s="13" t="inlineStr">
        <is>
          <t>Preceding FY Financial As Of Date</t>
        </is>
      </c>
      <c r="D30" s="12" t="inlineStr">
        <is>
          <t>STATIC</t>
        </is>
      </c>
      <c r="E30" s="13" t="inlineStr">
        <is>
          <t>Carried fwd</t>
        </is>
      </c>
      <c r="F30" s="12" t="inlineStr">
        <is>
          <t>20241231.0</t>
        </is>
      </c>
      <c r="G30" s="13" t="inlineStr">
        <is>
          <t>Annual update only</t>
        </is>
      </c>
    </row>
    <row r="31" ht="28" customHeight="1">
      <c r="A31" s="12" t="n">
        <v>54</v>
      </c>
      <c r="B31" s="12" t="inlineStr">
        <is>
          <t>BB</t>
        </is>
      </c>
      <c r="C31" s="13" t="inlineStr">
        <is>
          <t>Preceding FY Revenue</t>
        </is>
      </c>
      <c r="D31" s="12" t="inlineStr">
        <is>
          <t>STATIC</t>
        </is>
      </c>
      <c r="E31" s="13" t="inlineStr">
        <is>
          <t>Carried fwd</t>
        </is>
      </c>
      <c r="F31" s="12" t="inlineStr">
        <is>
          <t>590105.03</t>
        </is>
      </c>
      <c r="G31" s="13" t="inlineStr">
        <is>
          <t>Annual update only</t>
        </is>
      </c>
    </row>
    <row r="32" ht="28" customHeight="1">
      <c r="A32" s="12" t="n">
        <v>68</v>
      </c>
      <c r="B32" s="12" t="inlineStr">
        <is>
          <t>BP</t>
        </is>
      </c>
      <c r="C32" s="13" t="inlineStr">
        <is>
          <t>Most Recent Revenue</t>
        </is>
      </c>
      <c r="D32" s="12" t="inlineStr">
        <is>
          <t>STATIC</t>
        </is>
      </c>
      <c r="E32" s="13" t="inlineStr">
        <is>
          <t>Carried fwd</t>
        </is>
      </c>
      <c r="F32" s="12" t="inlineStr">
        <is>
          <t>376824.22</t>
        </is>
      </c>
      <c r="G32" s="13" t="inlineStr">
        <is>
          <t>When new financials available</t>
        </is>
      </c>
    </row>
    <row r="33" ht="28" customHeight="1">
      <c r="A33" s="12" t="n">
        <v>73</v>
      </c>
      <c r="B33" s="12" t="inlineStr">
        <is>
          <t>BU</t>
        </is>
      </c>
      <c r="C33" s="13" t="inlineStr">
        <is>
          <t>Most Recent Financial As Of End Date</t>
        </is>
      </c>
      <c r="D33" s="12" t="inlineStr">
        <is>
          <t>STATIC</t>
        </is>
      </c>
      <c r="E33" s="13" t="inlineStr">
        <is>
          <t>Carried fwd</t>
        </is>
      </c>
      <c r="F33" s="12" t="inlineStr">
        <is>
          <t>20250930.0</t>
        </is>
      </c>
      <c r="G33" s="13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Supplemental: Watchlist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8" t="n">
        <v>1</v>
      </c>
      <c r="B3" s="18" t="inlineStr">
        <is>
          <t>A</t>
        </is>
      </c>
      <c r="C3" s="19" t="inlineStr">
        <is>
          <t>A1 — header with 'As of MM/DD/YY'</t>
        </is>
      </c>
      <c r="D3" s="18" t="inlineStr">
        <is>
          <t>DATE_A1</t>
        </is>
      </c>
      <c r="E3" s="19" t="inlineStr">
        <is>
          <t>replace_date_in_text(a1_val, new_date_str)</t>
        </is>
      </c>
      <c r="F3" s="18" t="inlineStr">
        <is>
          <t>'As of 03/06/26...'</t>
        </is>
      </c>
      <c r="G3" s="19" t="inlineStr">
        <is>
          <t>Multi-line string in A1 — only the MM/DD/YY date portion replaced</t>
        </is>
      </c>
    </row>
    <row r="4" ht="28" customHeight="1">
      <c r="A4" s="12" t="inlineStr">
        <is>
          <t>—</t>
        </is>
      </c>
      <c r="B4" s="12" t="inlineStr">
        <is>
          <t>—</t>
        </is>
      </c>
      <c r="C4" s="13" t="inlineStr">
        <is>
          <t>[ALL DATA ROWS]</t>
        </is>
      </c>
      <c r="D4" s="12" t="inlineStr">
        <is>
          <t>STATIC</t>
        </is>
      </c>
      <c r="E4" s="13" t="inlineStr">
        <is>
          <t>Carried fwd</t>
        </is>
      </c>
      <c r="F4" s="12" t="inlineStr"/>
      <c r="G4" s="13" t="inlineStr">
        <is>
          <t>Script only replaces date in A1; data rows managed by servicer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Supplemental: Delq Loan Status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8" t="n">
        <v>1</v>
      </c>
      <c r="B3" s="18" t="inlineStr">
        <is>
          <t>A</t>
        </is>
      </c>
      <c r="C3" s="19" t="inlineStr">
        <is>
          <t>A1 — header with 'As of MM/DD/YY'</t>
        </is>
      </c>
      <c r="D3" s="18" t="inlineStr">
        <is>
          <t>DATE_A1</t>
        </is>
      </c>
      <c r="E3" s="19" t="inlineStr">
        <is>
          <t>replace_date_in_text(a1_val, new_date_str)</t>
        </is>
      </c>
      <c r="F3" s="18" t="inlineStr">
        <is>
          <t>'As of 03/06/26...'</t>
        </is>
      </c>
      <c r="G3" s="19" t="inlineStr">
        <is>
          <t>Multi-line string in A1 — only the MM/DD/YY date portion replaced</t>
        </is>
      </c>
    </row>
    <row r="4" ht="28" customHeight="1">
      <c r="A4" s="12" t="inlineStr">
        <is>
          <t>—</t>
        </is>
      </c>
      <c r="B4" s="12" t="inlineStr">
        <is>
          <t>—</t>
        </is>
      </c>
      <c r="C4" s="13" t="inlineStr">
        <is>
          <t>[ALL DATA ROWS]</t>
        </is>
      </c>
      <c r="D4" s="12" t="inlineStr">
        <is>
          <t>STATIC</t>
        </is>
      </c>
      <c r="E4" s="13" t="inlineStr">
        <is>
          <t>Carried fwd</t>
        </is>
      </c>
      <c r="F4" s="12" t="inlineStr"/>
      <c r="G4" s="13" t="inlineStr">
        <is>
          <t>Script only replaces date in A1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Supplemental: REO Status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8" t="n">
        <v>1</v>
      </c>
      <c r="B3" s="18" t="inlineStr">
        <is>
          <t>A</t>
        </is>
      </c>
      <c r="C3" s="19" t="inlineStr">
        <is>
          <t>A1 — header with 'As of MM/DD/YY'</t>
        </is>
      </c>
      <c r="D3" s="18" t="inlineStr">
        <is>
          <t>DATE_A1</t>
        </is>
      </c>
      <c r="E3" s="19" t="inlineStr">
        <is>
          <t>replace_date_in_text(a1_val, new_date_str)</t>
        </is>
      </c>
      <c r="F3" s="18" t="inlineStr">
        <is>
          <t>'As of 03/06/26...'</t>
        </is>
      </c>
      <c r="G3" s="19" t="inlineStr">
        <is>
          <t>Multi-line string in A1 — only the MM/DD/YY date portion replaced</t>
        </is>
      </c>
    </row>
    <row r="4" ht="28" customHeight="1">
      <c r="A4" s="12" t="inlineStr">
        <is>
          <t>—</t>
        </is>
      </c>
      <c r="B4" s="12" t="inlineStr">
        <is>
          <t>—</t>
        </is>
      </c>
      <c r="C4" s="13" t="inlineStr">
        <is>
          <t>[ALL DATA ROWS]</t>
        </is>
      </c>
      <c r="D4" s="12" t="inlineStr">
        <is>
          <t>STATIC</t>
        </is>
      </c>
      <c r="E4" s="13" t="inlineStr">
        <is>
          <t>Carried fwd</t>
        </is>
      </c>
      <c r="F4" s="12" t="inlineStr"/>
      <c r="G4" s="13" t="inlineStr">
        <is>
          <t>Script only replaces date in A1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Supplemental: Hist Mod &amp; Corr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8" t="n">
        <v>1</v>
      </c>
      <c r="B3" s="18" t="inlineStr">
        <is>
          <t>A</t>
        </is>
      </c>
      <c r="C3" s="19" t="inlineStr">
        <is>
          <t>A1 — header with 'As of MM/DD/YY'</t>
        </is>
      </c>
      <c r="D3" s="18" t="inlineStr">
        <is>
          <t>DATE_A1</t>
        </is>
      </c>
      <c r="E3" s="19" t="inlineStr">
        <is>
          <t>replace_date_in_text(a1_val, new_date_str)</t>
        </is>
      </c>
      <c r="F3" s="18" t="inlineStr">
        <is>
          <t>'As of 03/06/26...'</t>
        </is>
      </c>
      <c r="G3" s="19" t="inlineStr">
        <is>
          <t>Multi-line string in A1 — only the MM/DD/YY date portion replaced</t>
        </is>
      </c>
    </row>
    <row r="4" ht="28" customHeight="1">
      <c r="A4" s="12" t="inlineStr">
        <is>
          <t>—</t>
        </is>
      </c>
      <c r="B4" s="12" t="inlineStr">
        <is>
          <t>—</t>
        </is>
      </c>
      <c r="C4" s="13" t="inlineStr">
        <is>
          <t>[ALL DATA ROWS]</t>
        </is>
      </c>
      <c r="D4" s="12" t="inlineStr">
        <is>
          <t>STATIC</t>
        </is>
      </c>
      <c r="E4" s="13" t="inlineStr">
        <is>
          <t>Carried fwd</t>
        </is>
      </c>
      <c r="F4" s="12" t="inlineStr"/>
      <c r="G4" s="13" t="inlineStr">
        <is>
          <t>Script only replaces date in A1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Supplemental: Comp Finan Status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8" t="n">
        <v>1</v>
      </c>
      <c r="B3" s="18" t="inlineStr">
        <is>
          <t>A</t>
        </is>
      </c>
      <c r="C3" s="19" t="inlineStr">
        <is>
          <t>A1 — header with 'As of MM/DD/YY'</t>
        </is>
      </c>
      <c r="D3" s="18" t="inlineStr">
        <is>
          <t>DATE_A1</t>
        </is>
      </c>
      <c r="E3" s="19" t="inlineStr">
        <is>
          <t>replace_date_in_text(a1_val, new_date_str)</t>
        </is>
      </c>
      <c r="F3" s="18" t="inlineStr">
        <is>
          <t>'As of 03/06/26...'</t>
        </is>
      </c>
      <c r="G3" s="19" t="inlineStr">
        <is>
          <t>Multi-line string in A1 — only the MM/DD/YY date portion replaced</t>
        </is>
      </c>
    </row>
    <row r="4" ht="28" customHeight="1">
      <c r="A4" s="12" t="n">
        <v>1</v>
      </c>
      <c r="B4" s="12" t="inlineStr">
        <is>
          <t>A</t>
        </is>
      </c>
      <c r="C4" s="13" t="inlineStr">
        <is>
          <t>Transaction ID</t>
        </is>
      </c>
      <c r="D4" s="12" t="inlineStr">
        <is>
          <t>STATIC</t>
        </is>
      </c>
      <c r="E4" s="13" t="inlineStr">
        <is>
          <t>Carried fwd</t>
        </is>
      </c>
      <c r="F4" s="12" t="inlineStr">
        <is>
          <t>DBJPM 2017-C6</t>
        </is>
      </c>
      <c r="G4" s="13" t="inlineStr"/>
    </row>
    <row r="5" ht="28" customHeight="1">
      <c r="A5" s="12" t="n">
        <v>2</v>
      </c>
      <c r="B5" s="12" t="inlineStr">
        <is>
          <t>B</t>
        </is>
      </c>
      <c r="C5" s="13" t="inlineStr">
        <is>
          <t>Loan ID</t>
        </is>
      </c>
      <c r="D5" s="12" t="inlineStr">
        <is>
          <t>STATIC</t>
        </is>
      </c>
      <c r="E5" s="13" t="inlineStr">
        <is>
          <t>Carried fwd</t>
        </is>
      </c>
      <c r="F5" s="12" t="inlineStr">
        <is>
          <t>030312685</t>
        </is>
      </c>
      <c r="G5" s="13" t="inlineStr">
        <is>
          <t>Key col for row matching</t>
        </is>
      </c>
    </row>
    <row r="6" ht="28" customHeight="1">
      <c r="A6" s="12" t="n">
        <v>3</v>
      </c>
      <c r="B6" s="12" t="inlineStr">
        <is>
          <t>C</t>
        </is>
      </c>
      <c r="C6" s="13" t="inlineStr">
        <is>
          <t>Prospectus Loan ID</t>
        </is>
      </c>
      <c r="D6" s="12" t="inlineStr">
        <is>
          <t>STATIC</t>
        </is>
      </c>
      <c r="E6" s="13" t="inlineStr">
        <is>
          <t>Carried fwd</t>
        </is>
      </c>
      <c r="F6" s="12" t="inlineStr">
        <is>
          <t>030312685</t>
        </is>
      </c>
      <c r="G6" s="13" t="inlineStr"/>
    </row>
    <row r="7" ht="28" customHeight="1">
      <c r="A7" s="12" t="n">
        <v>4</v>
      </c>
      <c r="B7" s="12" t="inlineStr">
        <is>
          <t>D</t>
        </is>
      </c>
      <c r="C7" s="13" t="inlineStr">
        <is>
          <t>Property ID</t>
        </is>
      </c>
      <c r="D7" s="12" t="inlineStr">
        <is>
          <t>STATIC</t>
        </is>
      </c>
      <c r="E7" s="13" t="inlineStr">
        <is>
          <t>Carried fwd</t>
        </is>
      </c>
      <c r="F7" s="12" t="inlineStr">
        <is>
          <t>436 Bryant LLC</t>
        </is>
      </c>
      <c r="G7" s="13" t="inlineStr"/>
    </row>
    <row r="8" ht="28" customHeight="1">
      <c r="A8" s="12" t="n">
        <v>5</v>
      </c>
      <c r="B8" s="12" t="inlineStr">
        <is>
          <t>E</t>
        </is>
      </c>
      <c r="C8" s="13" t="inlineStr">
        <is>
          <t>Property City</t>
        </is>
      </c>
      <c r="D8" s="12" t="inlineStr">
        <is>
          <t>STATIC</t>
        </is>
      </c>
      <c r="E8" s="13" t="inlineStr">
        <is>
          <t>Carried fwd</t>
        </is>
      </c>
      <c r="F8" s="12" t="inlineStr">
        <is>
          <t>San Francisco</t>
        </is>
      </c>
      <c r="G8" s="13" t="inlineStr"/>
    </row>
    <row r="9" ht="28" customHeight="1">
      <c r="A9" s="12" t="n">
        <v>6</v>
      </c>
      <c r="B9" s="12" t="inlineStr">
        <is>
          <t>F</t>
        </is>
      </c>
      <c r="C9" s="13" t="inlineStr">
        <is>
          <t>Property State</t>
        </is>
      </c>
      <c r="D9" s="12" t="inlineStr">
        <is>
          <t>STATIC</t>
        </is>
      </c>
      <c r="E9" s="13" t="inlineStr">
        <is>
          <t>Carried fwd</t>
        </is>
      </c>
      <c r="F9" s="12" t="inlineStr">
        <is>
          <t>CA</t>
        </is>
      </c>
      <c r="G9" s="13" t="inlineStr"/>
    </row>
    <row r="10" ht="28" customHeight="1">
      <c r="A10" s="12" t="n">
        <v>7</v>
      </c>
      <c r="B10" s="12" t="inlineStr">
        <is>
          <t>G</t>
        </is>
      </c>
      <c r="C10" s="13" t="inlineStr">
        <is>
          <t>Date of Last Inspection</t>
        </is>
      </c>
      <c r="D10" s="12" t="inlineStr">
        <is>
          <t>STATIC</t>
        </is>
      </c>
      <c r="E10" s="13" t="inlineStr">
        <is>
          <t>Carried fwd</t>
        </is>
      </c>
      <c r="F10" s="12" t="inlineStr">
        <is>
          <t>20250625.0</t>
        </is>
      </c>
      <c r="G10" s="13" t="inlineStr">
        <is>
          <t>YYYYMMDD float</t>
        </is>
      </c>
    </row>
    <row r="11" ht="28" customHeight="1">
      <c r="A11" s="12" t="n">
        <v>8</v>
      </c>
      <c r="B11" s="12" t="inlineStr">
        <is>
          <t>H</t>
        </is>
      </c>
      <c r="C11" s="13" t="inlineStr">
        <is>
          <t>Property Condition</t>
        </is>
      </c>
      <c r="D11" s="12" t="inlineStr">
        <is>
          <t>STATIC</t>
        </is>
      </c>
      <c r="E11" s="13" t="inlineStr">
        <is>
          <t>Carried fwd</t>
        </is>
      </c>
      <c r="F11" s="12" t="inlineStr">
        <is>
          <t>1.0</t>
        </is>
      </c>
      <c r="G11" s="13" t="inlineStr"/>
    </row>
    <row r="12" ht="28" customHeight="1">
      <c r="A12" s="14" t="n">
        <v>9</v>
      </c>
      <c r="B12" s="14" t="inlineStr">
        <is>
          <t>I</t>
        </is>
      </c>
      <c r="C12" s="15" t="inlineStr">
        <is>
          <t>Current Allocated Ending Scheduled Balance</t>
        </is>
      </c>
      <c r="D12" s="14" t="inlineStr">
        <is>
          <t>UPDATE</t>
        </is>
      </c>
      <c r="E12" s="15" t="inlineStr">
        <is>
          <t>IRP col 7</t>
        </is>
      </c>
      <c r="F12" s="14" t="inlineStr">
        <is>
          <t>6250000.0</t>
        </is>
      </c>
      <c r="G12" s="15" t="inlineStr">
        <is>
          <t>Ending Scheduled Balance</t>
        </is>
      </c>
    </row>
    <row r="13" ht="28" customHeight="1">
      <c r="A13" s="14" t="n">
        <v>10</v>
      </c>
      <c r="B13" s="14" t="inlineStr">
        <is>
          <t>J</t>
        </is>
      </c>
      <c r="C13" s="15" t="inlineStr">
        <is>
          <t>Paid Through Date</t>
        </is>
      </c>
      <c r="D13" s="14" t="inlineStr">
        <is>
          <t>UPDATE</t>
        </is>
      </c>
      <c r="E13" s="15" t="inlineStr">
        <is>
          <t>IRP col 8 (YYYYMMDD)</t>
        </is>
      </c>
      <c r="F13" s="14" t="inlineStr">
        <is>
          <t>20260306.0</t>
        </is>
      </c>
      <c r="G13" s="15" t="inlineStr">
        <is>
          <t>YYYYMMDD float (NOT Excel serial)</t>
        </is>
      </c>
    </row>
    <row r="14" ht="28" customHeight="1">
      <c r="A14" s="12" t="n">
        <v>11</v>
      </c>
      <c r="B14" s="12" t="inlineStr">
        <is>
          <t>K</t>
        </is>
      </c>
      <c r="C14" s="13" t="inlineStr">
        <is>
          <t>Base Year Financials As Of Date</t>
        </is>
      </c>
      <c r="D14" s="12" t="inlineStr">
        <is>
          <t>STATIC</t>
        </is>
      </c>
      <c r="E14" s="13" t="inlineStr">
        <is>
          <t>Carried fwd</t>
        </is>
      </c>
      <c r="F14" s="12" t="inlineStr">
        <is>
          <t>(empty)</t>
        </is>
      </c>
      <c r="G14" s="13" t="inlineStr"/>
    </row>
    <row r="15" ht="28" customHeight="1">
      <c r="A15" s="12" t="n">
        <v>16</v>
      </c>
      <c r="B15" s="12" t="inlineStr">
        <is>
          <t>P</t>
        </is>
      </c>
      <c r="C15" s="13" t="inlineStr">
        <is>
          <t>Second Preceding FY Financials As Of Date</t>
        </is>
      </c>
      <c r="D15" s="12" t="inlineStr">
        <is>
          <t>STATIC</t>
        </is>
      </c>
      <c r="E15" s="13" t="inlineStr">
        <is>
          <t>Carried fwd</t>
        </is>
      </c>
      <c r="F15" s="12" t="inlineStr">
        <is>
          <t>20231231.0</t>
        </is>
      </c>
      <c r="G15" s="13" t="inlineStr"/>
    </row>
    <row r="16" ht="28" customHeight="1">
      <c r="A16" s="12" t="n">
        <v>17</v>
      </c>
      <c r="B16" s="12" t="inlineStr">
        <is>
          <t>Q</t>
        </is>
      </c>
      <c r="C16" s="13" t="inlineStr">
        <is>
          <t>Second Preceding FY Physical Occupancy</t>
        </is>
      </c>
      <c r="D16" s="12" t="inlineStr">
        <is>
          <t>STATIC</t>
        </is>
      </c>
      <c r="E16" s="13" t="inlineStr">
        <is>
          <t>Carried fwd</t>
        </is>
      </c>
      <c r="F16" s="12" t="inlineStr">
        <is>
          <t>100.0</t>
        </is>
      </c>
      <c r="G16" s="13" t="inlineStr">
        <is>
          <t>Annual update only</t>
        </is>
      </c>
    </row>
    <row r="17" ht="28" customHeight="1">
      <c r="A17" s="12" t="n">
        <v>18</v>
      </c>
      <c r="B17" s="12" t="inlineStr">
        <is>
          <t>R</t>
        </is>
      </c>
      <c r="C17" s="13" t="inlineStr">
        <is>
          <t>Second Preceding FY Revenue</t>
        </is>
      </c>
      <c r="D17" s="12" t="inlineStr">
        <is>
          <t>STATIC</t>
        </is>
      </c>
      <c r="E17" s="13" t="inlineStr">
        <is>
          <t>Carried fwd</t>
        </is>
      </c>
      <c r="F17" s="12" t="inlineStr">
        <is>
          <t>651674.55</t>
        </is>
      </c>
      <c r="G17" s="13" t="inlineStr">
        <is>
          <t>Annual update only</t>
        </is>
      </c>
    </row>
    <row r="18" ht="28" customHeight="1">
      <c r="A18" s="12" t="n">
        <v>19</v>
      </c>
      <c r="B18" s="12" t="inlineStr">
        <is>
          <t>S</t>
        </is>
      </c>
      <c r="C18" s="13" t="inlineStr">
        <is>
          <t>Second Preceding FY NOI/NCF</t>
        </is>
      </c>
      <c r="D18" s="12" t="inlineStr">
        <is>
          <t>STATIC</t>
        </is>
      </c>
      <c r="E18" s="13" t="inlineStr">
        <is>
          <t>Carried fwd</t>
        </is>
      </c>
      <c r="F18" s="12" t="inlineStr">
        <is>
          <t>360640.02</t>
        </is>
      </c>
      <c r="G18" s="13" t="inlineStr"/>
    </row>
    <row r="19" ht="28" customHeight="1">
      <c r="A19" s="12" t="n">
        <v>20</v>
      </c>
      <c r="B19" s="12" t="inlineStr">
        <is>
          <t>T</t>
        </is>
      </c>
      <c r="C19" s="13" t="inlineStr">
        <is>
          <t>Second Preceding FY DSCR</t>
        </is>
      </c>
      <c r="D19" s="12" t="inlineStr">
        <is>
          <t>STATIC</t>
        </is>
      </c>
      <c r="E19" s="13" t="inlineStr">
        <is>
          <t>Carried fwd</t>
        </is>
      </c>
      <c r="F19" s="12" t="inlineStr">
        <is>
          <t>1.31</t>
        </is>
      </c>
      <c r="G19" s="13" t="inlineStr"/>
    </row>
    <row r="20" ht="28" customHeight="1">
      <c r="A20" s="12" t="n">
        <v>21</v>
      </c>
      <c r="B20" s="12" t="inlineStr">
        <is>
          <t>U</t>
        </is>
      </c>
      <c r="C20" s="13" t="inlineStr">
        <is>
          <t>Preceding FY Financials As Of Date</t>
        </is>
      </c>
      <c r="D20" s="12" t="inlineStr">
        <is>
          <t>STATIC</t>
        </is>
      </c>
      <c r="E20" s="13" t="inlineStr">
        <is>
          <t>Carried fwd</t>
        </is>
      </c>
      <c r="F20" s="12" t="inlineStr">
        <is>
          <t>20241231.0</t>
        </is>
      </c>
      <c r="G20" s="13" t="inlineStr"/>
    </row>
    <row r="21" ht="28" customHeight="1">
      <c r="A21" s="12" t="n">
        <v>22</v>
      </c>
      <c r="B21" s="12" t="inlineStr">
        <is>
          <t>V</t>
        </is>
      </c>
      <c r="C21" s="13" t="inlineStr">
        <is>
          <t>Preceding FY Physical Occupancy</t>
        </is>
      </c>
      <c r="D21" s="12" t="inlineStr">
        <is>
          <t>STATIC</t>
        </is>
      </c>
      <c r="E21" s="13" t="inlineStr">
        <is>
          <t>Carried fwd</t>
        </is>
      </c>
      <c r="F21" s="12" t="inlineStr">
        <is>
          <t>67.97</t>
        </is>
      </c>
      <c r="G21" s="13" t="inlineStr"/>
    </row>
    <row r="22" ht="28" customHeight="1">
      <c r="A22" s="12" t="n">
        <v>23</v>
      </c>
      <c r="B22" s="12" t="inlineStr">
        <is>
          <t>W</t>
        </is>
      </c>
      <c r="C22" s="13" t="inlineStr">
        <is>
          <t>Preceding FY Revenue</t>
        </is>
      </c>
      <c r="D22" s="12" t="inlineStr">
        <is>
          <t>STATIC</t>
        </is>
      </c>
      <c r="E22" s="13" t="inlineStr">
        <is>
          <t>Carried fwd</t>
        </is>
      </c>
      <c r="F22" s="12" t="inlineStr">
        <is>
          <t>590105.03</t>
        </is>
      </c>
      <c r="G22" s="13" t="inlineStr"/>
    </row>
    <row r="23" ht="28" customHeight="1">
      <c r="A23" s="12" t="n">
        <v>24</v>
      </c>
      <c r="B23" s="12" t="inlineStr">
        <is>
          <t>X</t>
        </is>
      </c>
      <c r="C23" s="13" t="inlineStr">
        <is>
          <t>Preceding FY NOI/NCF</t>
        </is>
      </c>
      <c r="D23" s="12" t="inlineStr">
        <is>
          <t>STATIC</t>
        </is>
      </c>
      <c r="E23" s="13" t="inlineStr">
        <is>
          <t>Carried fwd</t>
        </is>
      </c>
      <c r="F23" s="12" t="inlineStr">
        <is>
          <t>384926.79</t>
        </is>
      </c>
      <c r="G23" s="13" t="inlineStr"/>
    </row>
    <row r="24" ht="28" customHeight="1">
      <c r="A24" s="12" t="n">
        <v>25</v>
      </c>
      <c r="B24" s="12" t="inlineStr">
        <is>
          <t>Y</t>
        </is>
      </c>
      <c r="C24" s="13" t="inlineStr">
        <is>
          <t>Preceding FY DSCR</t>
        </is>
      </c>
      <c r="D24" s="12" t="inlineStr">
        <is>
          <t>STATIC</t>
        </is>
      </c>
      <c r="E24" s="13" t="inlineStr">
        <is>
          <t>Carried fwd</t>
        </is>
      </c>
      <c r="F24" s="12" t="inlineStr">
        <is>
          <t>1.4</t>
        </is>
      </c>
      <c r="G24" s="13" t="inlineStr"/>
    </row>
    <row r="25" ht="28" customHeight="1">
      <c r="A25" s="12" t="n">
        <v>26</v>
      </c>
      <c r="B25" s="12" t="inlineStr">
        <is>
          <t>Z</t>
        </is>
      </c>
      <c r="C25" s="13" t="inlineStr">
        <is>
          <t>Most Recent Financial As Of Start Date</t>
        </is>
      </c>
      <c r="D25" s="12" t="inlineStr">
        <is>
          <t>STATIC</t>
        </is>
      </c>
      <c r="E25" s="13" t="inlineStr">
        <is>
          <t>Carried fwd</t>
        </is>
      </c>
      <c r="F25" s="12" t="inlineStr">
        <is>
          <t>20250101.0</t>
        </is>
      </c>
      <c r="G25" s="13" t="inlineStr"/>
    </row>
    <row r="26" ht="28" customHeight="1">
      <c r="A26" s="12" t="n">
        <v>27</v>
      </c>
      <c r="B26" s="12" t="inlineStr">
        <is>
          <t>AA</t>
        </is>
      </c>
      <c r="C26" s="13" t="inlineStr">
        <is>
          <t>Most Recent Financial As Of End Date</t>
        </is>
      </c>
      <c r="D26" s="12" t="inlineStr">
        <is>
          <t>STATIC</t>
        </is>
      </c>
      <c r="E26" s="13" t="inlineStr">
        <is>
          <t>Carried fwd</t>
        </is>
      </c>
      <c r="F26" s="12" t="inlineStr">
        <is>
          <t>20250930.0</t>
        </is>
      </c>
      <c r="G26" s="13" t="inlineStr"/>
    </row>
    <row r="27" ht="28" customHeight="1">
      <c r="A27" s="12" t="n">
        <v>28</v>
      </c>
      <c r="B27" s="12" t="inlineStr">
        <is>
          <t>AB</t>
        </is>
      </c>
      <c r="C27" s="13" t="inlineStr">
        <is>
          <t>Most Recent Occupancy As Of Date</t>
        </is>
      </c>
      <c r="D27" s="12" t="inlineStr">
        <is>
          <t>STATIC</t>
        </is>
      </c>
      <c r="E27" s="13" t="inlineStr">
        <is>
          <t>Carried fwd</t>
        </is>
      </c>
      <c r="F27" s="12" t="inlineStr">
        <is>
          <t>20250930.0</t>
        </is>
      </c>
      <c r="G27" s="13" t="inlineStr"/>
    </row>
    <row r="28" ht="28" customHeight="1">
      <c r="A28" s="12" t="n">
        <v>29</v>
      </c>
      <c r="B28" s="12" t="inlineStr">
        <is>
          <t>AC</t>
        </is>
      </c>
      <c r="C28" s="13" t="inlineStr">
        <is>
          <t>Most Recent Physical Occupancy</t>
        </is>
      </c>
      <c r="D28" s="12" t="inlineStr">
        <is>
          <t>STATIC</t>
        </is>
      </c>
      <c r="E28" s="13" t="inlineStr">
        <is>
          <t>Carried fwd</t>
        </is>
      </c>
      <c r="F28" s="12" t="inlineStr">
        <is>
          <t>100.0</t>
        </is>
      </c>
      <c r="G28" s="13" t="inlineStr"/>
    </row>
    <row r="29" ht="28" customHeight="1">
      <c r="A29" s="12" t="n">
        <v>30</v>
      </c>
      <c r="B29" s="12" t="inlineStr">
        <is>
          <t>AD</t>
        </is>
      </c>
      <c r="C29" s="13" t="inlineStr">
        <is>
          <t>Most Recent Revenue</t>
        </is>
      </c>
      <c r="D29" s="12" t="inlineStr">
        <is>
          <t>STATIC</t>
        </is>
      </c>
      <c r="E29" s="13" t="inlineStr">
        <is>
          <t>Carried fwd</t>
        </is>
      </c>
      <c r="F29" s="12" t="inlineStr">
        <is>
          <t>376824.22</t>
        </is>
      </c>
      <c r="G29" s="13" t="inlineStr"/>
    </row>
    <row r="30" ht="28" customHeight="1">
      <c r="A30" s="12" t="n">
        <v>31</v>
      </c>
      <c r="B30" s="12" t="inlineStr">
        <is>
          <t>AE</t>
        </is>
      </c>
      <c r="C30" s="13" t="inlineStr">
        <is>
          <t>Most Recent NOI/NCF</t>
        </is>
      </c>
      <c r="D30" s="12" t="inlineStr">
        <is>
          <t>STATIC</t>
        </is>
      </c>
      <c r="E30" s="13" t="inlineStr">
        <is>
          <t>Carried fwd</t>
        </is>
      </c>
      <c r="F30" s="12" t="inlineStr">
        <is>
          <t>215091.33</t>
        </is>
      </c>
      <c r="G30" s="13" t="inlineStr"/>
    </row>
    <row r="31" ht="28" customHeight="1">
      <c r="A31" s="12" t="n">
        <v>32</v>
      </c>
      <c r="B31" s="12" t="inlineStr">
        <is>
          <t>AF</t>
        </is>
      </c>
      <c r="C31" s="13" t="inlineStr">
        <is>
          <t>Most Recent DSCR</t>
        </is>
      </c>
      <c r="D31" s="12" t="inlineStr">
        <is>
          <t>STATIC</t>
        </is>
      </c>
      <c r="E31" s="13" t="inlineStr">
        <is>
          <t>Carried fwd</t>
        </is>
      </c>
      <c r="F31" s="12" t="inlineStr">
        <is>
          <t>1.04</t>
        </is>
      </c>
      <c r="G31" s="13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Supplemental: Total Loan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8" t="n">
        <v>1</v>
      </c>
      <c r="B3" s="18" t="inlineStr">
        <is>
          <t>A</t>
        </is>
      </c>
      <c r="C3" s="19" t="inlineStr">
        <is>
          <t>A1 — header with 'As of MM/DD/YY'</t>
        </is>
      </c>
      <c r="D3" s="18" t="inlineStr">
        <is>
          <t>DATE_A1</t>
        </is>
      </c>
      <c r="E3" s="19" t="inlineStr">
        <is>
          <t>replace_date_in_text(a1_val, new_date_str)</t>
        </is>
      </c>
      <c r="F3" s="18" t="inlineStr">
        <is>
          <t>'As of 03/06/26...'</t>
        </is>
      </c>
      <c r="G3" s="19" t="inlineStr">
        <is>
          <t>Multi-line string in A1 — only the MM/DD/YY date portion replaced</t>
        </is>
      </c>
    </row>
    <row r="4" ht="28" customHeight="1">
      <c r="A4" s="12" t="n">
        <v>1</v>
      </c>
      <c r="B4" s="12" t="inlineStr">
        <is>
          <t>A</t>
        </is>
      </c>
      <c r="C4" s="13" t="inlineStr">
        <is>
          <t>Transaction ID</t>
        </is>
      </c>
      <c r="D4" s="12" t="inlineStr">
        <is>
          <t>STATIC</t>
        </is>
      </c>
      <c r="E4" s="13" t="inlineStr">
        <is>
          <t>Carried fwd</t>
        </is>
      </c>
      <c r="F4" s="12" t="inlineStr">
        <is>
          <t>DBJPM 2017-C6</t>
        </is>
      </c>
      <c r="G4" s="13" t="inlineStr"/>
    </row>
    <row r="5" ht="28" customHeight="1">
      <c r="A5" s="12" t="n">
        <v>3</v>
      </c>
      <c r="B5" s="12" t="inlineStr">
        <is>
          <t>C</t>
        </is>
      </c>
      <c r="C5" s="13" t="inlineStr">
        <is>
          <t>Loan ID</t>
        </is>
      </c>
      <c r="D5" s="12" t="inlineStr">
        <is>
          <t>STATIC</t>
        </is>
      </c>
      <c r="E5" s="13" t="inlineStr">
        <is>
          <t>Carried fwd</t>
        </is>
      </c>
      <c r="F5" s="12" t="inlineStr">
        <is>
          <t>030312685</t>
        </is>
      </c>
      <c r="G5" s="13" t="inlineStr">
        <is>
          <t>Key col for row matching</t>
        </is>
      </c>
    </row>
    <row r="6" ht="28" customHeight="1">
      <c r="A6" s="12" t="n">
        <v>6</v>
      </c>
      <c r="B6" s="12" t="inlineStr">
        <is>
          <t>F</t>
        </is>
      </c>
      <c r="C6" s="13" t="inlineStr">
        <is>
          <t>Prospectus Loan ID</t>
        </is>
      </c>
      <c r="D6" s="12" t="inlineStr">
        <is>
          <t>STATIC</t>
        </is>
      </c>
      <c r="E6" s="13" t="inlineStr">
        <is>
          <t>Carried fwd</t>
        </is>
      </c>
      <c r="F6" s="12" t="inlineStr">
        <is>
          <t>030312685</t>
        </is>
      </c>
      <c r="G6" s="13" t="inlineStr"/>
    </row>
    <row r="7" ht="28" customHeight="1">
      <c r="A7" s="12" t="n">
        <v>8</v>
      </c>
      <c r="B7" s="12" t="inlineStr">
        <is>
          <t>H</t>
        </is>
      </c>
      <c r="C7" s="13" t="inlineStr">
        <is>
          <t>Loan Name</t>
        </is>
      </c>
      <c r="D7" s="12" t="inlineStr">
        <is>
          <t>STATIC</t>
        </is>
      </c>
      <c r="E7" s="13" t="inlineStr">
        <is>
          <t>Carried fwd</t>
        </is>
      </c>
      <c r="F7" s="12" t="inlineStr">
        <is>
          <t>436 Bryant LLC</t>
        </is>
      </c>
      <c r="G7" s="13" t="inlineStr"/>
    </row>
    <row r="8" ht="28" customHeight="1">
      <c r="A8" s="12" t="n">
        <v>10</v>
      </c>
      <c r="B8" s="12" t="inlineStr">
        <is>
          <t>J</t>
        </is>
      </c>
      <c r="C8" s="13" t="inlineStr">
        <is>
          <t>Total Loan Amt at Origination</t>
        </is>
      </c>
      <c r="D8" s="12" t="inlineStr">
        <is>
          <t>STATIC</t>
        </is>
      </c>
      <c r="E8" s="13" t="inlineStr">
        <is>
          <t>Carried fwd</t>
        </is>
      </c>
      <c r="F8" s="12" t="inlineStr">
        <is>
          <t>6250000.0</t>
        </is>
      </c>
      <c r="G8" s="13" t="inlineStr">
        <is>
          <t>Never changes</t>
        </is>
      </c>
    </row>
    <row r="9" ht="28" customHeight="1">
      <c r="A9" s="12" t="n">
        <v>11</v>
      </c>
      <c r="B9" s="12" t="inlineStr">
        <is>
          <t>K</t>
        </is>
      </c>
      <c r="C9" s="13" t="inlineStr">
        <is>
          <t>Scheduled Principal Balance at Contrib</t>
        </is>
      </c>
      <c r="D9" s="12" t="inlineStr">
        <is>
          <t>STATIC</t>
        </is>
      </c>
      <c r="E9" s="13" t="inlineStr">
        <is>
          <t>Carried fwd</t>
        </is>
      </c>
      <c r="F9" s="12" t="inlineStr">
        <is>
          <t>6250000.0</t>
        </is>
      </c>
      <c r="G9" s="13" t="inlineStr">
        <is>
          <t>Never changes</t>
        </is>
      </c>
    </row>
    <row r="10" ht="28" customHeight="1">
      <c r="A10" s="14" t="n">
        <v>12</v>
      </c>
      <c r="B10" s="14" t="inlineStr">
        <is>
          <t>L</t>
        </is>
      </c>
      <c r="C10" s="15" t="inlineStr">
        <is>
          <t>Current Ending Scheduled Balance</t>
        </is>
      </c>
      <c r="D10" s="14" t="inlineStr">
        <is>
          <t>UPDATE</t>
        </is>
      </c>
      <c r="E10" s="15" t="inlineStr">
        <is>
          <t>IRP col 7</t>
        </is>
      </c>
      <c r="F10" s="14" t="inlineStr">
        <is>
          <t>6250000.0</t>
        </is>
      </c>
      <c r="G10" s="15" t="inlineStr">
        <is>
          <t>v2.2 FIX — was missing from v2.1</t>
        </is>
      </c>
    </row>
    <row r="11" ht="28" customHeight="1">
      <c r="A11" s="14" t="n">
        <v>13</v>
      </c>
      <c r="B11" s="14" t="inlineStr">
        <is>
          <t>M</t>
        </is>
      </c>
      <c r="C11" s="15" t="inlineStr">
        <is>
          <t>Total Scheduled P&amp;I Due</t>
        </is>
      </c>
      <c r="D11" s="14" t="inlineStr">
        <is>
          <t>UPDATE</t>
        </is>
      </c>
      <c r="E11" s="15" t="inlineStr">
        <is>
          <t>IRP col 25</t>
        </is>
      </c>
      <c r="F11" s="14" t="inlineStr">
        <is>
          <t>21145.83</t>
        </is>
      </c>
      <c r="G11" s="15" t="inlineStr"/>
    </row>
    <row r="12" ht="28" customHeight="1">
      <c r="A12" s="12" t="n">
        <v>14</v>
      </c>
      <c r="B12" s="12" t="inlineStr">
        <is>
          <t>N</t>
        </is>
      </c>
      <c r="C12" s="13" t="inlineStr">
        <is>
          <t>Current Note Rate</t>
        </is>
      </c>
      <c r="D12" s="12" t="inlineStr">
        <is>
          <t>STATIC</t>
        </is>
      </c>
      <c r="E12" s="13" t="inlineStr">
        <is>
          <t>Carried fwd</t>
        </is>
      </c>
      <c r="F12" s="12" t="inlineStr">
        <is>
          <t>0.0435</t>
        </is>
      </c>
      <c r="G12" s="13" t="inlineStr"/>
    </row>
    <row r="13" ht="28" customHeight="1">
      <c r="A13" s="14" t="n">
        <v>15</v>
      </c>
      <c r="B13" s="14" t="inlineStr">
        <is>
          <t>O</t>
        </is>
      </c>
      <c r="C13" s="15" t="inlineStr">
        <is>
          <t>Paid Through Date</t>
        </is>
      </c>
      <c r="D13" s="14" t="inlineStr">
        <is>
          <t>UPDATE</t>
        </is>
      </c>
      <c r="E13" s="15" t="inlineStr">
        <is>
          <t>IRP col 8 (YYYYMMDD)</t>
        </is>
      </c>
      <c r="F13" s="14" t="inlineStr">
        <is>
          <t>20260306.0</t>
        </is>
      </c>
      <c r="G13" s="15" t="inlineStr">
        <is>
          <t>YYYYMMDD float</t>
        </is>
      </c>
    </row>
    <row r="14" ht="28" customHeight="1">
      <c r="A14" s="12" t="n">
        <v>17</v>
      </c>
      <c r="B14" s="12" t="inlineStr">
        <is>
          <t>Q</t>
        </is>
      </c>
      <c r="C14" s="13" t="inlineStr">
        <is>
          <t>Trustee</t>
        </is>
      </c>
      <c r="D14" s="12" t="inlineStr">
        <is>
          <t>STATIC</t>
        </is>
      </c>
      <c r="E14" s="13" t="inlineStr">
        <is>
          <t>Carried fwd</t>
        </is>
      </c>
      <c r="F14" s="12" t="inlineStr">
        <is>
          <t>Wells Fargo...</t>
        </is>
      </c>
      <c r="G14" s="13" t="inlineStr"/>
    </row>
    <row r="15" ht="28" customHeight="1">
      <c r="A15" s="12" t="n">
        <v>18</v>
      </c>
      <c r="B15" s="12" t="inlineStr">
        <is>
          <t>R</t>
        </is>
      </c>
      <c r="C15" s="13" t="inlineStr">
        <is>
          <t>Master Servicer</t>
        </is>
      </c>
      <c r="D15" s="12" t="inlineStr">
        <is>
          <t>STATIC</t>
        </is>
      </c>
      <c r="E15" s="13" t="inlineStr">
        <is>
          <t>Carried fwd</t>
        </is>
      </c>
      <c r="F15" s="12" t="inlineStr">
        <is>
          <t>Midland...</t>
        </is>
      </c>
      <c r="G15" s="13" t="inlineStr"/>
    </row>
    <row r="16" ht="28" customHeight="1">
      <c r="A16" s="12" t="n">
        <v>20</v>
      </c>
      <c r="B16" s="12" t="inlineStr">
        <is>
          <t>T</t>
        </is>
      </c>
      <c r="C16" s="13" t="inlineStr">
        <is>
          <t>Special Servicer</t>
        </is>
      </c>
      <c r="D16" s="12" t="inlineStr">
        <is>
          <t>STATIC</t>
        </is>
      </c>
      <c r="E16" s="13" t="inlineStr">
        <is>
          <t>Carried fwd</t>
        </is>
      </c>
      <c r="F16" s="12" t="inlineStr">
        <is>
          <t>Midland...</t>
        </is>
      </c>
      <c r="G16" s="13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Supplemental: Res LOC Report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18" t="n">
        <v>1</v>
      </c>
      <c r="B3" s="18" t="inlineStr">
        <is>
          <t>A</t>
        </is>
      </c>
      <c r="C3" s="19" t="inlineStr">
        <is>
          <t>A1 — header with 'As of MM/DD/YY'</t>
        </is>
      </c>
      <c r="D3" s="18" t="inlineStr">
        <is>
          <t>DATE_A1</t>
        </is>
      </c>
      <c r="E3" s="19" t="inlineStr">
        <is>
          <t>replace_date_in_text(a1_val, new_date_str)</t>
        </is>
      </c>
      <c r="F3" s="18" t="inlineStr">
        <is>
          <t>'As of 03/06/26...'</t>
        </is>
      </c>
      <c r="G3" s="19" t="inlineStr">
        <is>
          <t>Multi-line string in A1 — only the MM/DD/YY date portion replaced</t>
        </is>
      </c>
    </row>
    <row r="4" ht="28" customHeight="1">
      <c r="A4" s="20" t="inlineStr"/>
      <c r="B4" s="20" t="inlineStr"/>
      <c r="C4" s="21" t="inlineStr">
        <is>
          <t>--- DATA ROWS (rows 8+): copied directly from PIRPXLLR LL_Res_LOC ---</t>
        </is>
      </c>
      <c r="D4" s="20" t="inlineStr">
        <is>
          <t>PIRP</t>
        </is>
      </c>
      <c r="E4" s="21" t="inlineStr"/>
      <c r="F4" s="20" t="inlineStr"/>
      <c r="G4" s="21" t="inlineStr"/>
    </row>
    <row r="5" ht="28" customHeight="1">
      <c r="A5" s="20" t="n">
        <v>1</v>
      </c>
      <c r="B5" s="20" t="inlineStr">
        <is>
          <t>A</t>
        </is>
      </c>
      <c r="C5" s="21" t="inlineStr">
        <is>
          <t>Transaction ID</t>
        </is>
      </c>
      <c r="D5" s="20" t="inlineStr">
        <is>
          <t>PIRP</t>
        </is>
      </c>
      <c r="E5" s="21" t="inlineStr">
        <is>
          <t>PIRPXLLR col 1</t>
        </is>
      </c>
      <c r="F5" s="20" t="inlineStr">
        <is>
          <t>DBJPM 2017-C6</t>
        </is>
      </c>
      <c r="G5" s="21" t="inlineStr">
        <is>
          <t>Written on first row of each loan group</t>
        </is>
      </c>
    </row>
    <row r="6" ht="28" customHeight="1">
      <c r="A6" s="20" t="n">
        <v>2</v>
      </c>
      <c r="B6" s="20" t="inlineStr">
        <is>
          <t>B</t>
        </is>
      </c>
      <c r="C6" s="21" t="inlineStr">
        <is>
          <t>Group ID</t>
        </is>
      </c>
      <c r="D6" s="20" t="inlineStr">
        <is>
          <t>PIRP</t>
        </is>
      </c>
      <c r="E6" s="21" t="inlineStr">
        <is>
          <t>PIRPXLLR col 2</t>
        </is>
      </c>
      <c r="F6" s="20" t="inlineStr">
        <is>
          <t>(empty)</t>
        </is>
      </c>
      <c r="G6" s="21" t="inlineStr"/>
    </row>
    <row r="7" ht="28" customHeight="1">
      <c r="A7" s="20" t="n">
        <v>3</v>
      </c>
      <c r="B7" s="20" t="inlineStr">
        <is>
          <t>C</t>
        </is>
      </c>
      <c r="C7" s="21" t="inlineStr">
        <is>
          <t>Loan ID</t>
        </is>
      </c>
      <c r="D7" s="20" t="inlineStr">
        <is>
          <t>PIRP</t>
        </is>
      </c>
      <c r="E7" s="21" t="inlineStr">
        <is>
          <t>PIRPXLLR col 3</t>
        </is>
      </c>
      <c r="F7" s="20" t="inlineStr">
        <is>
          <t>30312685.0</t>
        </is>
      </c>
      <c r="G7" s="21" t="inlineStr">
        <is>
          <t>NUM (no leading zero) — direct from PIRPXLLR</t>
        </is>
      </c>
    </row>
    <row r="8" ht="28" customHeight="1">
      <c r="A8" s="20" t="n">
        <v>4</v>
      </c>
      <c r="B8" s="20" t="inlineStr">
        <is>
          <t>D</t>
        </is>
      </c>
      <c r="C8" s="21" t="inlineStr">
        <is>
          <t>Prospectus Loan ID</t>
        </is>
      </c>
      <c r="D8" s="20" t="inlineStr">
        <is>
          <t>PIRP</t>
        </is>
      </c>
      <c r="E8" s="21" t="inlineStr">
        <is>
          <t>PIRPXLLR col 4</t>
        </is>
      </c>
      <c r="F8" s="20" t="inlineStr">
        <is>
          <t>36.0</t>
        </is>
      </c>
      <c r="G8" s="21" t="inlineStr">
        <is>
          <t>Numeric code from PIRPXLLR — copied as-is</t>
        </is>
      </c>
    </row>
    <row r="9" ht="28" customHeight="1">
      <c r="A9" s="20" t="n">
        <v>5</v>
      </c>
      <c r="B9" s="20" t="inlineStr">
        <is>
          <t>E</t>
        </is>
      </c>
      <c r="C9" s="21" t="inlineStr">
        <is>
          <t>Property Name</t>
        </is>
      </c>
      <c r="D9" s="20" t="inlineStr">
        <is>
          <t>PIRP</t>
        </is>
      </c>
      <c r="E9" s="21" t="inlineStr">
        <is>
          <t>PIRPXLLR col 5</t>
        </is>
      </c>
      <c r="F9" s="20" t="inlineStr">
        <is>
          <t>436 Bryant</t>
        </is>
      </c>
      <c r="G9" s="21" t="inlineStr"/>
    </row>
    <row r="10" ht="28" customHeight="1">
      <c r="A10" s="20" t="n">
        <v>6</v>
      </c>
      <c r="B10" s="20" t="inlineStr">
        <is>
          <t>F</t>
        </is>
      </c>
      <c r="C10" s="21" t="inlineStr">
        <is>
          <t>Paid Through Date</t>
        </is>
      </c>
      <c r="D10" s="20" t="inlineStr">
        <is>
          <t>PIRP</t>
        </is>
      </c>
      <c r="E10" s="21" t="inlineStr">
        <is>
          <t>PIRPXLLR col 6</t>
        </is>
      </c>
      <c r="F10" s="20" t="inlineStr">
        <is>
          <t>20260206.0</t>
        </is>
      </c>
      <c r="G10" s="21" t="inlineStr">
        <is>
          <t>YYYYMMDD float — one period behind Det Date</t>
        </is>
      </c>
    </row>
    <row r="11" ht="28" customHeight="1">
      <c r="A11" s="20" t="n">
        <v>7</v>
      </c>
      <c r="B11" s="20" t="inlineStr">
        <is>
          <t>G</t>
        </is>
      </c>
      <c r="C11" s="21" t="inlineStr">
        <is>
          <t>Current Ending Scheduled Balance</t>
        </is>
      </c>
      <c r="D11" s="20" t="inlineStr">
        <is>
          <t>PIRP</t>
        </is>
      </c>
      <c r="E11" s="21" t="inlineStr">
        <is>
          <t>PIRPXLLR col 7</t>
        </is>
      </c>
      <c r="F11" s="20" t="inlineStr">
        <is>
          <t>6250000.0 / 0</t>
        </is>
      </c>
      <c r="G11" s="21" t="inlineStr">
        <is>
          <t>First row only; blank for continuation rows</t>
        </is>
      </c>
    </row>
    <row r="12" ht="28" customHeight="1">
      <c r="A12" s="20" t="n">
        <v>8</v>
      </c>
      <c r="B12" s="20" t="inlineStr">
        <is>
          <t>H</t>
        </is>
      </c>
      <c r="C12" s="21" t="inlineStr">
        <is>
          <t>Reserve Account Type</t>
        </is>
      </c>
      <c r="D12" s="20" t="inlineStr">
        <is>
          <t>PIRP</t>
        </is>
      </c>
      <c r="E12" s="21" t="inlineStr">
        <is>
          <t>PIRPXLLR col 8</t>
        </is>
      </c>
      <c r="F12" s="20" t="inlineStr">
        <is>
          <t>4 / 6 / 13</t>
        </is>
      </c>
      <c r="G12" s="21" t="inlineStr">
        <is>
          <t>Numeric code</t>
        </is>
      </c>
    </row>
    <row r="13" ht="28" customHeight="1">
      <c r="A13" s="20" t="n">
        <v>9</v>
      </c>
      <c r="B13" s="20" t="inlineStr">
        <is>
          <t>I</t>
        </is>
      </c>
      <c r="C13" s="21" t="inlineStr">
        <is>
          <t>Reserve Balance at Contribution</t>
        </is>
      </c>
      <c r="D13" s="20" t="inlineStr">
        <is>
          <t>PIRP</t>
        </is>
      </c>
      <c r="E13" s="21" t="inlineStr">
        <is>
          <t>PIRPXLLR col 9</t>
        </is>
      </c>
      <c r="F13" s="20" t="inlineStr">
        <is>
          <t>0.0</t>
        </is>
      </c>
      <c r="G13" s="21" t="inlineStr"/>
    </row>
    <row r="14" ht="28" customHeight="1">
      <c r="A14" s="20" t="n">
        <v>10</v>
      </c>
      <c r="B14" s="20" t="inlineStr">
        <is>
          <t>J</t>
        </is>
      </c>
      <c r="C14" s="21" t="inlineStr">
        <is>
          <t>Beginning Reserve Balance</t>
        </is>
      </c>
      <c r="D14" s="20" t="inlineStr">
        <is>
          <t>PIRP</t>
        </is>
      </c>
      <c r="E14" s="21" t="inlineStr">
        <is>
          <t>PIRPXLLR col 10</t>
        </is>
      </c>
      <c r="F14" s="20" t="inlineStr">
        <is>
          <t>242925.0...</t>
        </is>
      </c>
      <c r="G14" s="21" t="inlineStr"/>
    </row>
    <row r="15" ht="28" customHeight="1">
      <c r="A15" s="20" t="n">
        <v>11</v>
      </c>
      <c r="B15" s="20" t="inlineStr">
        <is>
          <t>K</t>
        </is>
      </c>
      <c r="C15" s="21" t="inlineStr">
        <is>
          <t>Reserves Deposits</t>
        </is>
      </c>
      <c r="D15" s="20" t="inlineStr">
        <is>
          <t>PIRP</t>
        </is>
      </c>
      <c r="E15" s="21" t="inlineStr">
        <is>
          <t>PIRPXLLR col 11</t>
        </is>
      </c>
      <c r="F15" s="20" t="inlineStr">
        <is>
          <t>4011.5 / 0</t>
        </is>
      </c>
      <c r="G15" s="21" t="inlineStr"/>
    </row>
    <row r="16" ht="28" customHeight="1">
      <c r="A16" s="20" t="n">
        <v>12</v>
      </c>
      <c r="B16" s="20" t="inlineStr">
        <is>
          <t>L</t>
        </is>
      </c>
      <c r="C16" s="21" t="inlineStr">
        <is>
          <t>Reserves Disbursements</t>
        </is>
      </c>
      <c r="D16" s="20" t="inlineStr">
        <is>
          <t>PIRP</t>
        </is>
      </c>
      <c r="E16" s="21" t="inlineStr">
        <is>
          <t>PIRPXLLR col 12</t>
        </is>
      </c>
      <c r="F16" s="20" t="inlineStr">
        <is>
          <t>0.0</t>
        </is>
      </c>
      <c r="G16" s="21" t="inlineStr"/>
    </row>
    <row r="17" ht="28" customHeight="1">
      <c r="A17" s="20" t="n">
        <v>13</v>
      </c>
      <c r="B17" s="20" t="inlineStr">
        <is>
          <t>M</t>
        </is>
      </c>
      <c r="C17" s="21" t="inlineStr">
        <is>
          <t>Ending Reserve Balance</t>
        </is>
      </c>
      <c r="D17" s="20" t="inlineStr">
        <is>
          <t>PIRP</t>
        </is>
      </c>
      <c r="E17" s="21" t="inlineStr">
        <is>
          <t>PIRPXLLR col 13</t>
        </is>
      </c>
      <c r="F17" s="20" t="inlineStr">
        <is>
          <t>246936.5...</t>
        </is>
      </c>
      <c r="G17" s="21" t="inlineStr"/>
    </row>
    <row r="18" ht="28" customHeight="1">
      <c r="A18" s="20" t="n">
        <v>14</v>
      </c>
      <c r="B18" s="20" t="inlineStr">
        <is>
          <t>N</t>
        </is>
      </c>
      <c r="C18" s="21" t="inlineStr">
        <is>
          <t>LOC Expiration Date</t>
        </is>
      </c>
      <c r="D18" s="20" t="inlineStr">
        <is>
          <t>PIRP</t>
        </is>
      </c>
      <c r="E18" s="21" t="inlineStr">
        <is>
          <t>PIRPXLLR col 14</t>
        </is>
      </c>
      <c r="F18" s="20" t="inlineStr">
        <is>
          <t>(empty)</t>
        </is>
      </c>
      <c r="G18" s="21" t="inlineStr"/>
    </row>
    <row r="19" ht="28" customHeight="1">
      <c r="A19" s="20" t="n">
        <v>15</v>
      </c>
      <c r="B19" s="20" t="inlineStr">
        <is>
          <t>O</t>
        </is>
      </c>
      <c r="C19" s="21" t="inlineStr">
        <is>
          <t>Comments - Loan Level Reserve/LOC</t>
        </is>
      </c>
      <c r="D19" s="20" t="inlineStr">
        <is>
          <t>PIRP</t>
        </is>
      </c>
      <c r="E19" s="21" t="inlineStr">
        <is>
          <t>PIRPXLLR col 15</t>
        </is>
      </c>
      <c r="F19" s="20" t="inlineStr">
        <is>
          <t>(text or empty)</t>
        </is>
      </c>
      <c r="G19" s="21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0" customWidth="1" min="4" max="4"/>
    <col width="40" customWidth="1" min="5" max="5"/>
    <col width="26" customWidth="1" min="6" max="6"/>
    <col width="50" customWidth="1" min="7" max="7"/>
  </cols>
  <sheetData>
    <row r="1" ht="22" customHeight="1">
      <c r="A1" s="10" t="inlineStr">
        <is>
          <t>CREFC Financial File — Column Mapping</t>
        </is>
      </c>
    </row>
    <row r="2" ht="30" customHeight="1">
      <c r="A2" s="11" t="inlineStr">
        <is>
          <t>Col #</t>
        </is>
      </c>
      <c r="B2" s="11" t="inlineStr">
        <is>
          <t>Excel Col</t>
        </is>
      </c>
      <c r="C2" s="11" t="inlineStr">
        <is>
          <t>Field Name</t>
        </is>
      </c>
      <c r="D2" s="11" t="inlineStr">
        <is>
          <t>Action</t>
        </is>
      </c>
      <c r="E2" s="11" t="inlineStr">
        <is>
          <t>Script Source</t>
        </is>
      </c>
      <c r="F2" s="11" t="inlineStr">
        <is>
          <t>Value in Reference File</t>
        </is>
      </c>
      <c r="G2" s="11" t="inlineStr">
        <is>
          <t>Notes</t>
        </is>
      </c>
    </row>
    <row r="3" ht="28" customHeight="1">
      <c r="A3" s="22" t="inlineStr">
        <is>
          <t>—</t>
        </is>
      </c>
      <c r="B3" s="22" t="inlineStr">
        <is>
          <t>—</t>
        </is>
      </c>
      <c r="C3" s="23" t="inlineStr">
        <is>
          <t>ENTIRE FILE</t>
        </is>
      </c>
      <c r="D3" s="22" t="inlineStr">
        <is>
          <t>COPY</t>
        </is>
      </c>
      <c r="E3" s="23" t="inlineStr">
        <is>
          <t>shutil.copy2(src, dest)</t>
        </is>
      </c>
      <c r="F3" s="22" t="inlineStr"/>
      <c r="G3" s="23" t="inlineStr">
        <is>
          <t>Financial file is COPY ONLY — no cell edits at all.
New filename prefix = YYYY.MM (from det date).
Content dates are embedded in the data rows (cols D/E = Begin/End YYYYMMDD).
These come from the source file and are NOT updated by the script.
Tab name: 'CMSA Financial File'.  No A1 date to replace (A1 is empty).</t>
        </is>
      </c>
    </row>
    <row r="4" ht="28" customHeight="1">
      <c r="A4" s="22" t="n">
        <v>1</v>
      </c>
      <c r="B4" s="22" t="inlineStr">
        <is>
          <t>A</t>
        </is>
      </c>
      <c r="C4" s="23" t="inlineStr">
        <is>
          <t>TRANSACTION ID</t>
        </is>
      </c>
      <c r="D4" s="22" t="inlineStr">
        <is>
          <t>COPY</t>
        </is>
      </c>
      <c r="E4" s="23" t="inlineStr"/>
      <c r="F4" s="22" t="inlineStr">
        <is>
          <t xml:space="preserve"> DBJPM 2017-C6</t>
        </is>
      </c>
      <c r="G4" s="23" t="inlineStr">
        <is>
          <t>Note leading space in reference file</t>
        </is>
      </c>
    </row>
    <row r="5" ht="28" customHeight="1">
      <c r="A5" s="22" t="n">
        <v>2</v>
      </c>
      <c r="B5" s="22" t="inlineStr">
        <is>
          <t>B</t>
        </is>
      </c>
      <c r="C5" s="23" t="inlineStr">
        <is>
          <t>LOAN ID</t>
        </is>
      </c>
      <c r="D5" s="22" t="inlineStr">
        <is>
          <t>COPY</t>
        </is>
      </c>
      <c r="E5" s="23" t="inlineStr"/>
      <c r="F5" s="22" t="inlineStr">
        <is>
          <t>030312685</t>
        </is>
      </c>
      <c r="G5" s="23" t="inlineStr"/>
    </row>
    <row r="6" ht="28" customHeight="1">
      <c r="A6" s="22" t="n">
        <v>3</v>
      </c>
      <c r="B6" s="22" t="inlineStr">
        <is>
          <t>C</t>
        </is>
      </c>
      <c r="C6" s="23" t="inlineStr">
        <is>
          <t>Property ID</t>
        </is>
      </c>
      <c r="D6" s="22" t="inlineStr">
        <is>
          <t>COPY</t>
        </is>
      </c>
      <c r="E6" s="23" t="inlineStr"/>
      <c r="F6" s="22" t="inlineStr">
        <is>
          <t>030312685</t>
        </is>
      </c>
      <c r="G6" s="23" t="inlineStr"/>
    </row>
    <row r="7" ht="28" customHeight="1">
      <c r="A7" s="22" t="n">
        <v>4</v>
      </c>
      <c r="B7" s="22" t="inlineStr">
        <is>
          <t>D</t>
        </is>
      </c>
      <c r="C7" s="23" t="inlineStr">
        <is>
          <t>Begin YYYYMMDD</t>
        </is>
      </c>
      <c r="D7" s="22" t="inlineStr">
        <is>
          <t>COPY</t>
        </is>
      </c>
      <c r="E7" s="23" t="inlineStr"/>
      <c r="F7" s="22" t="inlineStr">
        <is>
          <t>20250101.0</t>
        </is>
      </c>
      <c r="G7" s="23" t="inlineStr">
        <is>
          <t>YTD period begin — not updated</t>
        </is>
      </c>
    </row>
    <row r="8" ht="28" customHeight="1">
      <c r="A8" s="22" t="n">
        <v>5</v>
      </c>
      <c r="B8" s="22" t="inlineStr">
        <is>
          <t>E</t>
        </is>
      </c>
      <c r="C8" s="23" t="inlineStr">
        <is>
          <t>Ending YYYYMMDD</t>
        </is>
      </c>
      <c r="D8" s="22" t="inlineStr">
        <is>
          <t>COPY</t>
        </is>
      </c>
      <c r="E8" s="23" t="inlineStr"/>
      <c r="F8" s="22" t="inlineStr">
        <is>
          <t>20250930.0</t>
        </is>
      </c>
      <c r="G8" s="23" t="inlineStr">
        <is>
          <t>YTD period end — not updated</t>
        </is>
      </c>
    </row>
    <row r="9" ht="28" customHeight="1">
      <c r="A9" s="22" t="n">
        <v>6</v>
      </c>
      <c r="B9" s="22" t="inlineStr">
        <is>
          <t>F</t>
        </is>
      </c>
      <c r="C9" s="23" t="inlineStr">
        <is>
          <t>DATA TYPE</t>
        </is>
      </c>
      <c r="D9" s="22" t="inlineStr">
        <is>
          <t>COPY</t>
        </is>
      </c>
      <c r="E9" s="23" t="inlineStr"/>
      <c r="F9" s="22" t="inlineStr">
        <is>
          <t>YTD</t>
        </is>
      </c>
      <c r="G9" s="23" t="inlineStr"/>
    </row>
    <row r="10" ht="28" customHeight="1">
      <c r="A10" s="22" t="n">
        <v>7</v>
      </c>
      <c r="B10" s="22" t="inlineStr">
        <is>
          <t>G</t>
        </is>
      </c>
      <c r="C10" s="23" t="inlineStr">
        <is>
          <t>STATEMENT TYPE</t>
        </is>
      </c>
      <c r="D10" s="22" t="inlineStr">
        <is>
          <t>COPY</t>
        </is>
      </c>
      <c r="E10" s="23" t="inlineStr"/>
      <c r="F10" s="22" t="inlineStr">
        <is>
          <t>NOR</t>
        </is>
      </c>
      <c r="G10" s="23" t="inlineStr"/>
    </row>
    <row r="11" ht="28" customHeight="1">
      <c r="A11" s="22" t="n">
        <v>8</v>
      </c>
      <c r="B11" s="22" t="inlineStr">
        <is>
          <t>H</t>
        </is>
      </c>
      <c r="C11" s="23" t="inlineStr">
        <is>
          <t>CATEGORY CODE</t>
        </is>
      </c>
      <c r="D11" s="22" t="inlineStr">
        <is>
          <t>COPY</t>
        </is>
      </c>
      <c r="E11" s="23" t="inlineStr"/>
      <c r="F11" s="22" t="inlineStr">
        <is>
          <t>010GROSRNT...</t>
        </is>
      </c>
      <c r="G11" s="23" t="inlineStr">
        <is>
          <t>Multiple rows, one per income/expense category</t>
        </is>
      </c>
    </row>
    <row r="12" ht="28" customHeight="1">
      <c r="A12" s="22" t="n">
        <v>9</v>
      </c>
      <c r="B12" s="22" t="inlineStr">
        <is>
          <t>I</t>
        </is>
      </c>
      <c r="C12" s="23" t="inlineStr">
        <is>
          <t>AMOUNT</t>
        </is>
      </c>
      <c r="D12" s="22" t="inlineStr">
        <is>
          <t>COPY</t>
        </is>
      </c>
      <c r="E12" s="23" t="inlineStr"/>
      <c r="F12" s="22" t="inlineStr">
        <is>
          <t>(financial data)</t>
        </is>
      </c>
      <c r="G12" s="23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60" customWidth="1" min="4" max="4"/>
    <col width="50" customWidth="1" min="5" max="5"/>
  </cols>
  <sheetData>
    <row r="1" ht="22" customHeight="1">
      <c r="A1" s="24" t="inlineStr">
        <is>
          <t>v2.2 Changes — Gaps Found vs Reference File DBJPM 2017-C6</t>
        </is>
      </c>
      <c r="B1" s="25" t="n"/>
      <c r="C1" s="25" t="n"/>
      <c r="D1" s="25" t="n"/>
      <c r="E1" s="26" t="n"/>
    </row>
    <row r="2">
      <c r="A2" s="11" t="inlineStr">
        <is>
          <t>#</t>
        </is>
      </c>
      <c r="B2" s="11" t="inlineStr">
        <is>
          <t>File/Tab</t>
        </is>
      </c>
      <c r="C2" s="11" t="inlineStr">
        <is>
          <t>Col</t>
        </is>
      </c>
      <c r="D2" s="11" t="inlineStr">
        <is>
          <t>Issue Found</t>
        </is>
      </c>
      <c r="E2" s="11" t="inlineStr">
        <is>
          <t>Fix Applied</t>
        </is>
      </c>
    </row>
    <row r="3" ht="60" customHeight="1">
      <c r="A3" s="27" t="n">
        <v>1</v>
      </c>
      <c r="B3" s="27" t="inlineStr">
        <is>
          <t>Supplemental / Total Loan</t>
        </is>
      </c>
      <c r="C3" s="27" t="inlineStr">
        <is>
          <t>L (12)</t>
        </is>
      </c>
      <c r="D3" s="27" t="inlineStr">
        <is>
          <t>Col L = 'Current Ending Scheduled Balance' was NOT updated in v2.1.
Script only wrote M (P&amp;I) and O (Paid Through Date).
Reference file confirms col 12 = 6250000.0 = IRP col 7 (Ending Balance).</t>
        </is>
      </c>
      <c r="E3" s="27" t="inlineStr">
        <is>
          <t>v2.2: _process_total_loan_xls/_xlsx now also writes col L from IRP col 7</t>
        </is>
      </c>
    </row>
    <row r="4" ht="60" customHeight="1">
      <c r="A4" s="27" t="n">
        <v>2</v>
      </c>
      <c r="B4" s="27" t="inlineStr">
        <is>
          <t>Supplemental / Comp Finan</t>
        </is>
      </c>
      <c r="C4" s="27" t="inlineStr">
        <is>
          <t>J (10)</t>
        </is>
      </c>
      <c r="D4" s="27" t="inlineStr">
        <is>
          <t>Session notes said 'Excel serial' but reference file shows YYYYMMDD float (20260306.0).
v2.1 code already writes raw IRP col 8 value (YYYYMMDD float) — CORRECT.</t>
        </is>
      </c>
      <c r="E4" s="27" t="inlineStr">
        <is>
          <t>No code change needed. Documentation corrected.</t>
        </is>
      </c>
    </row>
    <row r="5" ht="60" customHeight="1">
      <c r="A5" s="27" t="n">
        <v>3</v>
      </c>
      <c r="B5" s="27" t="inlineStr">
        <is>
          <t>Config</t>
        </is>
      </c>
      <c r="C5" s="27" t="inlineStr">
        <is>
          <t>IRP_COL_SERVICER comment</t>
        </is>
      </c>
      <c r="D5" s="27" t="inlineStr">
        <is>
          <t>cmbs_config.py comment says col 133 = 'EE' but EC = col 133, EE = col 135.
Code is correct (uses numeric index 133); only the comment is wrong.</t>
        </is>
      </c>
      <c r="E5" s="27" t="inlineStr">
        <is>
          <t>Comment-only fix — no functional change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2026-03-10T22:53:40Z</dcterms:created>
  <dcterms:modified xmlns:dcterms="http://purl.org/dc/terms/" xmlns:xsi="http://www.w3.org/2001/XMLSchema-instance" xsi:type="dcterms:W3CDTF">2026-03-10T22:53:41Z</dcterms:modified>
</cp:coreProperties>
</file>